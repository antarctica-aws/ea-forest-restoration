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mliang77/Downloads/"/>
    </mc:Choice>
  </mc:AlternateContent>
  <xr:revisionPtr revIDLastSave="0" documentId="8_{3AFCE725-0F32-3C4E-9A2F-D4A3FA5AF462}" xr6:coauthVersionLast="47" xr6:coauthVersionMax="47" xr10:uidLastSave="{00000000-0000-0000-0000-000000000000}"/>
  <bookViews>
    <workbookView xWindow="0" yWindow="740" windowWidth="29400" windowHeight="17420" xr2:uid="{00000000-000D-0000-FFFF-FFFF00000000}"/>
  </bookViews>
  <sheets>
    <sheet name="table1_se+30year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8" l="1"/>
  <c r="G14" i="8" a="1"/>
  <c r="I14" i="8" s="1"/>
  <c r="G13" i="8" a="1"/>
  <c r="G13" i="8" s="1"/>
  <c r="P11" i="8" s="1"/>
  <c r="Q11" i="8" s="1"/>
  <c r="G12" i="8" a="1"/>
  <c r="I12" i="8" s="1"/>
  <c r="O11" i="8"/>
  <c r="N11" i="8"/>
  <c r="G11" i="8" a="1"/>
  <c r="I11" i="8" s="1"/>
  <c r="T11" i="8" s="1"/>
  <c r="G11" i="8"/>
  <c r="G10" i="8" a="1"/>
  <c r="I10" i="8" s="1"/>
  <c r="G9" i="8" a="1"/>
  <c r="I9" i="8" s="1"/>
  <c r="G9" i="8"/>
  <c r="P7" i="8" s="1"/>
  <c r="Q7" i="8" s="1"/>
  <c r="G8" i="8" a="1"/>
  <c r="I8" i="8" s="1"/>
  <c r="O7" i="8"/>
  <c r="N7" i="8"/>
  <c r="N15" i="8" s="1"/>
  <c r="G7" i="8" a="1"/>
  <c r="I7" i="8" s="1"/>
  <c r="T7" i="8" s="1"/>
  <c r="G6" i="8" a="1"/>
  <c r="H6" i="8" s="1"/>
  <c r="G6" i="8"/>
  <c r="G5" i="8" a="1"/>
  <c r="I4" i="8"/>
  <c r="H4" i="8"/>
  <c r="G4" i="8"/>
  <c r="P3" i="8"/>
  <c r="Q3" i="8" s="1"/>
  <c r="O3" i="8"/>
  <c r="O15" i="8" s="1"/>
  <c r="N3" i="8"/>
  <c r="I3" i="8" a="1"/>
  <c r="I3" i="8" s="1"/>
  <c r="H3" i="8" a="1"/>
  <c r="H3" i="8" s="1"/>
  <c r="G3" i="8" a="1"/>
  <c r="G3" i="8"/>
  <c r="I5" i="8" l="1"/>
  <c r="H5" i="8"/>
  <c r="R3" i="8" s="1"/>
  <c r="S3" i="8" s="1"/>
  <c r="G5" i="8"/>
  <c r="Q15" i="8"/>
  <c r="V7" i="8"/>
  <c r="U7" i="8"/>
  <c r="W7" i="8" s="1"/>
  <c r="U11" i="8"/>
  <c r="W11" i="8" s="1"/>
  <c r="V11" i="8"/>
  <c r="I6" i="8"/>
  <c r="G8" i="8"/>
  <c r="G10" i="8"/>
  <c r="G7" i="8"/>
  <c r="H13" i="8"/>
  <c r="H8" i="8"/>
  <c r="H10" i="8"/>
  <c r="I13" i="8"/>
  <c r="H7" i="8"/>
  <c r="R7" i="8" s="1"/>
  <c r="S7" i="8" s="1"/>
  <c r="G12" i="8"/>
  <c r="G14" i="8"/>
  <c r="H12" i="8"/>
  <c r="H14" i="8"/>
  <c r="H9" i="8"/>
  <c r="H11" i="8"/>
  <c r="R11" i="8" s="1"/>
  <c r="S11" i="8" s="1"/>
  <c r="X11" i="8" l="1"/>
  <c r="X7" i="8"/>
  <c r="S15" i="8"/>
  <c r="T3" i="8"/>
  <c r="V3" i="8" l="1"/>
  <c r="U3" i="8"/>
  <c r="U15" i="8" l="1"/>
  <c r="U18" i="8" s="1"/>
  <c r="W3" i="8"/>
  <c r="V15" i="8"/>
  <c r="V18" i="8" s="1"/>
  <c r="X3" i="8"/>
  <c r="X14" i="8" s="1"/>
</calcChain>
</file>

<file path=xl/sharedStrings.xml><?xml version="1.0" encoding="utf-8"?>
<sst xmlns="http://schemas.openxmlformats.org/spreadsheetml/2006/main" count="51" uniqueCount="41">
  <si>
    <t>TSMBF</t>
  </si>
  <si>
    <t>Biome</t>
  </si>
  <si>
    <t>Forest Restoration types</t>
  </si>
  <si>
    <t>Restored AGBD 
 accumulation rates
 (Mg ha-1 y-1)</t>
  </si>
  <si>
    <t>CF</t>
  </si>
  <si>
    <t>Restored AGC 
 accumulation rates
 (Mg C ha-1 y-1)</t>
  </si>
  <si>
    <t>new area (Mha)</t>
  </si>
  <si>
    <t>NR rate  (Mg C ha-1 y-1)</t>
  </si>
  <si>
    <t>new NR rate mean</t>
  </si>
  <si>
    <t>Total C stored by NR(short term)</t>
  </si>
  <si>
    <t>Total C stored by NR(long term)</t>
  </si>
  <si>
    <t>Short-term
 (9 years)</t>
  </si>
  <si>
    <t>Long-term
 (29 years)</t>
  </si>
  <si>
    <t xml:space="preserve">Average </t>
  </si>
  <si>
    <t>Short- term
 (&lt;=9 years)</t>
  </si>
  <si>
    <t>Long-term
 (&gt;9 years)</t>
  </si>
  <si>
    <t>Average</t>
  </si>
  <si>
    <t>short-term best rate</t>
  </si>
  <si>
    <t>C (gt)</t>
  </si>
  <si>
    <t>long-term best rate</t>
  </si>
  <si>
    <t>avergae restored rate</t>
  </si>
  <si>
    <t>short-term C</t>
  </si>
  <si>
    <t>long-term C</t>
  </si>
  <si>
    <t>AR</t>
  </si>
  <si>
    <t>ANR</t>
  </si>
  <si>
    <t>TSGSS</t>
  </si>
  <si>
    <t>MGS</t>
  </si>
  <si>
    <t>Total C using best forest restoration (Gt)</t>
  </si>
  <si>
    <t xml:space="preserve">30 year </t>
  </si>
  <si>
    <t>(±)0.038</t>
  </si>
  <si>
    <t>(±)0.122</t>
  </si>
  <si>
    <t>(±)0.0410</t>
  </si>
  <si>
    <t>(±)0.356</t>
  </si>
  <si>
    <t>(±)0.103</t>
  </si>
  <si>
    <t>(±)0.330</t>
  </si>
  <si>
    <t>(±)0.342</t>
  </si>
  <si>
    <t>overestimate by</t>
  </si>
  <si>
    <t>underestimate by</t>
  </si>
  <si>
    <t>(±)0.125996</t>
  </si>
  <si>
    <t>(±)0.368</t>
  </si>
  <si>
    <t>Areas suitable for restoration (old projection)
 (Griscom et al.35) 
 (Million 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</si>
</sst>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theme="1"/>
      <name val="Times New Roman"/>
    </font>
    <font>
      <b/>
      <sz val="11"/>
      <color theme="1"/>
      <name val="Times New Roman"/>
    </font>
    <font>
      <b/>
      <sz val="10"/>
      <color theme="1"/>
      <name val="Times New Roman"/>
    </font>
    <font>
      <sz val="10"/>
      <color theme="1"/>
      <name val="Times New Roman"/>
    </font>
    <font>
      <b/>
      <sz val="10"/>
      <color rgb="FF000000"/>
      <name val="Times New Roman"/>
    </font>
    <font>
      <strike/>
      <sz val="11"/>
      <color theme="1"/>
      <name val="Times New Roman"/>
    </font>
    <font>
      <sz val="11"/>
      <color theme="1"/>
      <name val="Times New Roman"/>
    </font>
    <font>
      <sz val="10"/>
      <color rgb="FF000000"/>
      <name val="Times New Roman"/>
    </font>
    <font>
      <strike/>
      <sz val="11"/>
      <color rgb="FF000000"/>
      <name val="Times New Roman"/>
    </font>
    <font>
      <sz val="11"/>
      <color rgb="FF000000"/>
      <name val="Times New Roman"/>
    </font>
    <font>
      <sz val="11"/>
      <color rgb="FF0A0A0A"/>
      <name val="Times New Roman"/>
    </font>
    <font>
      <b/>
      <sz val="11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medium">
        <color rgb="FF0000FF"/>
      </left>
      <right/>
      <top style="medium">
        <color rgb="FF0000FF"/>
      </top>
      <bottom/>
      <diagonal/>
    </border>
    <border>
      <left/>
      <right/>
      <top style="medium">
        <color rgb="FF0000FF"/>
      </top>
      <bottom/>
      <diagonal/>
    </border>
    <border>
      <left/>
      <right style="medium">
        <color rgb="FF0000FF"/>
      </right>
      <top style="medium">
        <color rgb="FF0000FF"/>
      </top>
      <bottom/>
      <diagonal/>
    </border>
    <border>
      <left style="medium">
        <color rgb="FF0000FF"/>
      </left>
      <right/>
      <top/>
      <bottom/>
      <diagonal/>
    </border>
    <border>
      <left/>
      <right style="medium">
        <color rgb="FF0000FF"/>
      </right>
      <top/>
      <bottom/>
      <diagonal/>
    </border>
    <border>
      <left style="medium">
        <color rgb="FF0000FF"/>
      </left>
      <right/>
      <top/>
      <bottom style="medium">
        <color rgb="FF0000FF"/>
      </bottom>
      <diagonal/>
    </border>
    <border>
      <left/>
      <right/>
      <top/>
      <bottom style="medium">
        <color rgb="FF0000FF"/>
      </bottom>
      <diagonal/>
    </border>
    <border>
      <left/>
      <right style="medium">
        <color rgb="FF0000FF"/>
      </right>
      <top/>
      <bottom style="medium">
        <color rgb="FF0000FF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top"/>
    </xf>
    <xf numFmtId="0" fontId="3" fillId="0" borderId="0" xfId="0" applyFont="1"/>
    <xf numFmtId="0" fontId="4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3" fillId="4" borderId="0" xfId="0" applyFont="1" applyFill="1" applyAlignment="1">
      <alignment vertical="center"/>
    </xf>
    <xf numFmtId="0" fontId="5" fillId="0" borderId="0" xfId="0" applyFont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3" fillId="3" borderId="0" xfId="0" applyFont="1" applyFill="1" applyAlignment="1">
      <alignment horizontal="center" vertical="top"/>
    </xf>
    <xf numFmtId="0" fontId="3" fillId="3" borderId="4" xfId="0" applyFont="1" applyFill="1" applyBorder="1" applyAlignment="1">
      <alignment horizontal="center" vertical="top"/>
    </xf>
    <xf numFmtId="0" fontId="3" fillId="3" borderId="5" xfId="0" applyFont="1" applyFill="1" applyBorder="1" applyAlignment="1">
      <alignment horizontal="center" vertical="top"/>
    </xf>
    <xf numFmtId="0" fontId="9" fillId="3" borderId="0" xfId="0" applyFont="1" applyFill="1" applyAlignment="1">
      <alignment horizontal="center" vertical="top"/>
    </xf>
    <xf numFmtId="0" fontId="9" fillId="3" borderId="4" xfId="0" applyFont="1" applyFill="1" applyBorder="1" applyAlignment="1">
      <alignment horizontal="center" vertical="top"/>
    </xf>
    <xf numFmtId="0" fontId="9" fillId="3" borderId="5" xfId="0" applyFont="1" applyFill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7" fillId="0" borderId="5" xfId="0" applyFont="1" applyBorder="1" applyAlignment="1">
      <alignment horizontal="center" vertical="top"/>
    </xf>
    <xf numFmtId="0" fontId="10" fillId="0" borderId="0" xfId="0" applyFont="1"/>
    <xf numFmtId="0" fontId="3" fillId="3" borderId="6" xfId="0" applyFont="1" applyFill="1" applyBorder="1" applyAlignment="1">
      <alignment horizontal="center" vertical="top"/>
    </xf>
    <xf numFmtId="0" fontId="3" fillId="3" borderId="7" xfId="0" applyFont="1" applyFill="1" applyBorder="1" applyAlignment="1">
      <alignment horizontal="center" vertical="top"/>
    </xf>
    <xf numFmtId="0" fontId="3" fillId="3" borderId="8" xfId="0" applyFont="1" applyFill="1" applyBorder="1" applyAlignment="1">
      <alignment horizontal="center" vertical="top"/>
    </xf>
    <xf numFmtId="0" fontId="5" fillId="8" borderId="0" xfId="0" applyFont="1" applyFill="1" applyAlignment="1">
      <alignment horizontal="center" vertical="top"/>
    </xf>
    <xf numFmtId="0" fontId="5" fillId="8" borderId="0" xfId="0" applyFont="1" applyFill="1"/>
    <xf numFmtId="0" fontId="5" fillId="0" borderId="0" xfId="0" applyFont="1"/>
    <xf numFmtId="0" fontId="1" fillId="9" borderId="0" xfId="0" applyFont="1" applyFill="1"/>
    <xf numFmtId="0" fontId="3" fillId="9" borderId="0" xfId="0" applyFont="1" applyFill="1"/>
    <xf numFmtId="0" fontId="13" fillId="10" borderId="0" xfId="0" applyFont="1" applyFill="1" applyAlignment="1">
      <alignment horizontal="right"/>
    </xf>
    <xf numFmtId="0" fontId="13" fillId="9" borderId="0" xfId="0" applyFont="1" applyFill="1" applyAlignment="1">
      <alignment horizontal="right"/>
    </xf>
    <xf numFmtId="0" fontId="0" fillId="0" borderId="0" xfId="0"/>
    <xf numFmtId="0" fontId="12" fillId="6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top"/>
    </xf>
    <xf numFmtId="0" fontId="9" fillId="6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top"/>
    </xf>
    <xf numFmtId="0" fontId="12" fillId="0" borderId="0" xfId="0" applyFont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top"/>
    </xf>
    <xf numFmtId="0" fontId="12" fillId="0" borderId="0" xfId="0" applyFont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9" fillId="0" borderId="0" xfId="0" applyFont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10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vertical="center"/>
    </xf>
    <xf numFmtId="0" fontId="10" fillId="4" borderId="0" xfId="0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5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3" fillId="0" borderId="0" xfId="0" applyFont="1" applyAlignment="1">
      <alignment vertical="top"/>
    </xf>
    <xf numFmtId="0" fontId="4" fillId="0" borderId="1" xfId="0" applyFont="1" applyBorder="1" applyAlignment="1">
      <alignment horizontal="center" vertical="top"/>
    </xf>
    <xf numFmtId="0" fontId="2" fillId="0" borderId="2" xfId="0" applyFont="1" applyBorder="1"/>
    <xf numFmtId="0" fontId="2" fillId="0" borderId="3" xfId="0" applyFont="1" applyBorder="1"/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3" fillId="7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vertical="top"/>
    </xf>
    <xf numFmtId="0" fontId="10" fillId="0" borderId="0" xfId="0" applyFont="1" applyAlignment="1">
      <alignment horizontal="center" vertical="top"/>
    </xf>
    <xf numFmtId="0" fontId="14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F39"/>
  <sheetViews>
    <sheetView tabSelected="1" workbookViewId="0">
      <selection activeCell="J30" sqref="J30"/>
    </sheetView>
  </sheetViews>
  <sheetFormatPr baseColWidth="10" defaultColWidth="12.6640625" defaultRowHeight="15.75" customHeight="1" x14ac:dyDescent="0.15"/>
  <sheetData>
    <row r="1" spans="1:32" ht="15.75" customHeight="1" x14ac:dyDescent="0.15">
      <c r="A1" s="59" t="s">
        <v>1</v>
      </c>
      <c r="B1" s="59" t="s">
        <v>2</v>
      </c>
      <c r="C1" s="42" t="s">
        <v>3</v>
      </c>
      <c r="D1" s="35"/>
      <c r="E1" s="35"/>
      <c r="F1" s="54" t="s">
        <v>4</v>
      </c>
      <c r="G1" s="60" t="s">
        <v>5</v>
      </c>
      <c r="H1" s="61"/>
      <c r="I1" s="62"/>
      <c r="J1" s="69" t="s">
        <v>40</v>
      </c>
      <c r="K1" s="54" t="s">
        <v>6</v>
      </c>
      <c r="L1" s="54" t="s">
        <v>7</v>
      </c>
      <c r="M1" s="55" t="s">
        <v>8</v>
      </c>
      <c r="N1" s="55" t="s">
        <v>9</v>
      </c>
      <c r="O1" s="55" t="s">
        <v>10</v>
      </c>
      <c r="P1" s="56" t="s">
        <v>11</v>
      </c>
      <c r="Q1" s="35"/>
      <c r="R1" s="57" t="s">
        <v>12</v>
      </c>
      <c r="S1" s="35"/>
      <c r="T1" s="58" t="s">
        <v>13</v>
      </c>
      <c r="U1" s="35"/>
      <c r="V1" s="35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customHeight="1" x14ac:dyDescent="0.15">
      <c r="A2" s="35"/>
      <c r="B2" s="35"/>
      <c r="C2" s="2" t="s">
        <v>14</v>
      </c>
      <c r="D2" s="2" t="s">
        <v>15</v>
      </c>
      <c r="E2" s="2" t="s">
        <v>16</v>
      </c>
      <c r="F2" s="35"/>
      <c r="G2" s="4" t="s">
        <v>14</v>
      </c>
      <c r="H2" s="2" t="s">
        <v>15</v>
      </c>
      <c r="I2" s="5" t="s">
        <v>16</v>
      </c>
      <c r="J2" s="35"/>
      <c r="K2" s="35"/>
      <c r="L2" s="35"/>
      <c r="M2" s="35"/>
      <c r="N2" s="35"/>
      <c r="O2" s="35"/>
      <c r="P2" s="6" t="s">
        <v>17</v>
      </c>
      <c r="Q2" s="7" t="s">
        <v>18</v>
      </c>
      <c r="R2" s="8" t="s">
        <v>19</v>
      </c>
      <c r="S2" s="8" t="s">
        <v>18</v>
      </c>
      <c r="T2" s="9" t="s">
        <v>20</v>
      </c>
      <c r="U2" s="9" t="s">
        <v>21</v>
      </c>
      <c r="V2" s="9" t="s">
        <v>22</v>
      </c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.75" customHeight="1" x14ac:dyDescent="0.15">
      <c r="A3" s="59" t="s">
        <v>0</v>
      </c>
      <c r="B3" s="64" t="s">
        <v>23</v>
      </c>
      <c r="C3" s="10">
        <v>-4.13</v>
      </c>
      <c r="D3" s="10">
        <v>4.92</v>
      </c>
      <c r="E3" s="10">
        <v>4.88</v>
      </c>
      <c r="F3" s="63">
        <v>0.45600000000000002</v>
      </c>
      <c r="G3" s="11">
        <f t="array" ref="G3">C3*F3</f>
        <v>-1.8832800000000001</v>
      </c>
      <c r="H3" s="10">
        <f t="array" ref="H3">D3*F3</f>
        <v>2.2435200000000002</v>
      </c>
      <c r="I3" s="12">
        <f t="array" ref="I3">E3*F3</f>
        <v>2.2252800000000001</v>
      </c>
      <c r="J3" s="43">
        <v>7.35</v>
      </c>
      <c r="K3" s="46">
        <v>7.4326999999999996</v>
      </c>
      <c r="L3" s="47">
        <v>2.6754099999999998</v>
      </c>
      <c r="M3" s="39">
        <v>2.5965699999999998</v>
      </c>
      <c r="N3" s="39">
        <f>K3*M3*1000000*9/1000000000</f>
        <v>0.17369573255099996</v>
      </c>
      <c r="O3" s="39">
        <f>K3*M3*1000000*29/1000000000</f>
        <v>0.55968624933099997</v>
      </c>
      <c r="P3" s="65">
        <f>M3</f>
        <v>2.5965699999999998</v>
      </c>
      <c r="Q3" s="65">
        <f>P3*K3*1000000*9/1000000000</f>
        <v>0.17369573255099996</v>
      </c>
      <c r="R3" s="48">
        <f>H5+M3</f>
        <v>5.9025699999999999</v>
      </c>
      <c r="S3" s="49">
        <f>R3*K3*1000000*29/1000000000</f>
        <v>1.2722889291309998</v>
      </c>
      <c r="T3" s="50">
        <f>I5+M3</f>
        <v>5.1182499999999997</v>
      </c>
      <c r="U3" s="50">
        <f>T3*K3*1000000*9/1000000000</f>
        <v>0.34238175097499995</v>
      </c>
      <c r="V3" s="50">
        <f>T3*K3*1000000*29/1000000000</f>
        <v>1.103230086475</v>
      </c>
      <c r="W3" s="3">
        <f>U3-Q3</f>
        <v>0.16868601842399999</v>
      </c>
      <c r="X3" s="3">
        <f>S3-V3</f>
        <v>0.1690588426559998</v>
      </c>
      <c r="Y3" s="3"/>
      <c r="Z3" s="3"/>
      <c r="AA3" s="3"/>
      <c r="AB3" s="3"/>
      <c r="AC3" s="3"/>
      <c r="AD3" s="3"/>
      <c r="AE3" s="3"/>
      <c r="AF3" s="3"/>
    </row>
    <row r="4" spans="1:32" ht="15.75" customHeight="1" x14ac:dyDescent="0.15">
      <c r="A4" s="35"/>
      <c r="B4" s="35"/>
      <c r="C4" s="15">
        <v>0.4</v>
      </c>
      <c r="D4" s="15">
        <v>0.65</v>
      </c>
      <c r="E4" s="15">
        <v>0.65</v>
      </c>
      <c r="F4" s="35"/>
      <c r="G4" s="16">
        <f>C4*F3</f>
        <v>0.18240000000000001</v>
      </c>
      <c r="H4" s="15">
        <f>D4*F3</f>
        <v>0.2964</v>
      </c>
      <c r="I4" s="17">
        <f>E4*F3</f>
        <v>0.2964</v>
      </c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5.75" customHeight="1" x14ac:dyDescent="0.15">
      <c r="A5" s="35"/>
      <c r="B5" s="64" t="s">
        <v>24</v>
      </c>
      <c r="C5" s="2">
        <v>-2.2000000000000002</v>
      </c>
      <c r="D5" s="2">
        <v>7.25</v>
      </c>
      <c r="E5" s="2">
        <v>5.53</v>
      </c>
      <c r="F5" s="35"/>
      <c r="G5" s="4">
        <f t="array" ref="G5:I5">C5:E5*F3</f>
        <v>-1.0032000000000001</v>
      </c>
      <c r="H5" s="2">
        <v>3.306</v>
      </c>
      <c r="I5" s="5">
        <v>2.5216800000000004</v>
      </c>
      <c r="J5" s="35"/>
      <c r="K5" s="35"/>
      <c r="L5" s="38">
        <v>0.30601400000000001</v>
      </c>
      <c r="M5" s="39">
        <v>0.29671900000000001</v>
      </c>
      <c r="N5" s="39">
        <v>1.9752410000000001E-2</v>
      </c>
      <c r="O5" s="39">
        <v>6.36467E-2</v>
      </c>
      <c r="P5" s="35"/>
      <c r="Q5" s="65">
        <v>1.9800000000000002E-2</v>
      </c>
      <c r="R5" s="35"/>
      <c r="S5" s="49">
        <v>0.22800000000000001</v>
      </c>
      <c r="T5" s="35"/>
      <c r="U5" s="50">
        <v>6.6650000000000001E-2</v>
      </c>
      <c r="V5" s="50">
        <v>0.214</v>
      </c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5.75" customHeight="1" x14ac:dyDescent="0.15">
      <c r="A6" s="35"/>
      <c r="B6" s="35"/>
      <c r="C6" s="18">
        <v>1.08</v>
      </c>
      <c r="D6" s="18">
        <v>1.67</v>
      </c>
      <c r="E6" s="18">
        <v>1.53</v>
      </c>
      <c r="F6" s="35"/>
      <c r="G6" s="19">
        <f t="array" ref="G6:I6">C6:E6*F3</f>
        <v>0.49248000000000003</v>
      </c>
      <c r="H6" s="18">
        <v>0.76151999999999997</v>
      </c>
      <c r="I6" s="20">
        <v>0.69768000000000008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5.75" customHeight="1" x14ac:dyDescent="0.15">
      <c r="A7" s="67" t="s">
        <v>25</v>
      </c>
      <c r="B7" s="68" t="s">
        <v>23</v>
      </c>
      <c r="C7" s="21">
        <v>-0.21299999999999999</v>
      </c>
      <c r="D7" s="21">
        <v>4.68</v>
      </c>
      <c r="E7" s="21">
        <v>4.22</v>
      </c>
      <c r="F7" s="63">
        <v>0.45700000000000002</v>
      </c>
      <c r="G7" s="22">
        <f t="array" ref="G7:I7">C7:E7*F7</f>
        <v>-9.7340999999999997E-2</v>
      </c>
      <c r="H7" s="21">
        <v>2.13876</v>
      </c>
      <c r="I7" s="23">
        <v>1.9285399999999999</v>
      </c>
      <c r="J7" s="44">
        <v>6.36</v>
      </c>
      <c r="K7" s="45">
        <v>6.3333000000000004</v>
      </c>
      <c r="L7" s="40">
        <v>2.1698200000000001</v>
      </c>
      <c r="M7" s="37">
        <v>2.1103499999999999</v>
      </c>
      <c r="N7" s="37">
        <f>K7*M7*1000000*9/1000000000</f>
        <v>0.120289316895</v>
      </c>
      <c r="O7" s="37">
        <f>K7*M7*1000000*29/1000000000</f>
        <v>0.38759890999500002</v>
      </c>
      <c r="P7" s="41">
        <f>M7+G9</f>
        <v>2.2565900000000001</v>
      </c>
      <c r="Q7" s="41">
        <f>P7*K7*1000000*9/1000000000</f>
        <v>0.128624953023</v>
      </c>
      <c r="R7" s="51">
        <f>H7+M7</f>
        <v>4.2491099999999999</v>
      </c>
      <c r="S7" s="52">
        <f>R7*K7*1000000*29/1000000000</f>
        <v>0.78041576252700007</v>
      </c>
      <c r="T7" s="53">
        <f>I7+M7</f>
        <v>4.0388900000000003</v>
      </c>
      <c r="U7" s="53">
        <f>T7*K7*1000000*9/1000000000</f>
        <v>0.23021551833300002</v>
      </c>
      <c r="V7" s="53">
        <f>T7*K7*1000000*29/1000000000</f>
        <v>0.74180555907300005</v>
      </c>
      <c r="W7" s="24">
        <f>U7-Q7</f>
        <v>0.10159056531000002</v>
      </c>
      <c r="X7" s="24">
        <f>S7-V7</f>
        <v>3.8610203454000014E-2</v>
      </c>
      <c r="Y7" s="24"/>
      <c r="Z7" s="24"/>
      <c r="AA7" s="24"/>
      <c r="AB7" s="24"/>
      <c r="AC7" s="24"/>
      <c r="AD7" s="24"/>
      <c r="AE7" s="24"/>
      <c r="AF7" s="24"/>
    </row>
    <row r="8" spans="1:32" ht="15.75" customHeight="1" x14ac:dyDescent="0.15">
      <c r="A8" s="35"/>
      <c r="B8" s="35"/>
      <c r="C8" s="15">
        <v>0.38</v>
      </c>
      <c r="D8" s="15">
        <v>0.73</v>
      </c>
      <c r="E8" s="15">
        <v>0.64</v>
      </c>
      <c r="F8" s="35"/>
      <c r="G8" s="16">
        <f t="array" ref="G8:I8">C8:E8*F7</f>
        <v>0.17366000000000001</v>
      </c>
      <c r="H8" s="15">
        <v>0.33361000000000002</v>
      </c>
      <c r="I8" s="17">
        <v>0.29248000000000002</v>
      </c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5.75" customHeight="1" x14ac:dyDescent="0.15">
      <c r="A9" s="35"/>
      <c r="B9" s="68" t="s">
        <v>24</v>
      </c>
      <c r="C9" s="21">
        <v>0.32</v>
      </c>
      <c r="D9" s="21">
        <v>1.93</v>
      </c>
      <c r="E9" s="21">
        <v>1.42</v>
      </c>
      <c r="F9" s="35"/>
      <c r="G9" s="22">
        <f t="array" ref="G9:I9">C9:E9*F7</f>
        <v>0.14624000000000001</v>
      </c>
      <c r="H9" s="21">
        <v>0.88200999999999996</v>
      </c>
      <c r="I9" s="23">
        <v>0.64893999999999996</v>
      </c>
      <c r="J9" s="35"/>
      <c r="K9" s="35"/>
      <c r="L9" s="36">
        <v>0.29653600000000002</v>
      </c>
      <c r="M9" s="37">
        <v>0.28836899999999999</v>
      </c>
      <c r="N9" s="37">
        <v>1.6405070000000001E-2</v>
      </c>
      <c r="O9" s="37">
        <v>5.2860799999999999E-2</v>
      </c>
      <c r="P9" s="35"/>
      <c r="Q9" s="41">
        <v>1.9300000000000001E-2</v>
      </c>
      <c r="R9" s="35"/>
      <c r="S9" s="52">
        <v>0.114</v>
      </c>
      <c r="T9" s="35"/>
      <c r="U9" s="53">
        <v>3.3099999999999997E-2</v>
      </c>
      <c r="V9" s="53">
        <v>0.107</v>
      </c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spans="1:32" ht="15.75" customHeight="1" x14ac:dyDescent="0.15">
      <c r="A10" s="35"/>
      <c r="B10" s="35"/>
      <c r="C10" s="15">
        <v>0.11</v>
      </c>
      <c r="D10" s="15">
        <v>0.05</v>
      </c>
      <c r="E10" s="15">
        <v>0.25</v>
      </c>
      <c r="F10" s="35"/>
      <c r="G10" s="16">
        <f t="array" ref="G10:I10">C10:E10*F7</f>
        <v>5.0270000000000002E-2</v>
      </c>
      <c r="H10" s="15">
        <v>2.2850000000000002E-2</v>
      </c>
      <c r="I10" s="17">
        <v>0.11425</v>
      </c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5.75" customHeight="1" x14ac:dyDescent="0.15">
      <c r="A11" s="59" t="s">
        <v>26</v>
      </c>
      <c r="B11" s="64" t="s">
        <v>23</v>
      </c>
      <c r="C11" s="10">
        <v>-0.26</v>
      </c>
      <c r="D11" s="10">
        <v>4.1900000000000004</v>
      </c>
      <c r="E11" s="10">
        <v>3.05</v>
      </c>
      <c r="F11" s="66">
        <v>0.46500000000000002</v>
      </c>
      <c r="G11" s="11">
        <f t="array" ref="G11:I11">C11:E11*F11</f>
        <v>-0.12090000000000001</v>
      </c>
      <c r="H11" s="10">
        <v>1.9483500000000002</v>
      </c>
      <c r="I11" s="12">
        <v>1.41825</v>
      </c>
      <c r="J11" s="43">
        <v>0.53</v>
      </c>
      <c r="K11" s="46">
        <v>0.68530000000000002</v>
      </c>
      <c r="L11" s="47">
        <v>2.4796999999999998</v>
      </c>
      <c r="M11" s="39">
        <v>2.4538000000000002</v>
      </c>
      <c r="N11" s="39">
        <f>K11*M11*1000000*9/1000000000</f>
        <v>1.5134302260000003E-2</v>
      </c>
      <c r="O11" s="39">
        <f>K11*M11*1000000*29/1000000000</f>
        <v>4.8766085060000013E-2</v>
      </c>
      <c r="P11" s="65">
        <f>M11+G13</f>
        <v>2.8397500000000004</v>
      </c>
      <c r="Q11" s="65">
        <f>P11*K11*1000000*9/1000000000</f>
        <v>1.7514726075000004E-2</v>
      </c>
      <c r="R11" s="48">
        <f>H11+M11</f>
        <v>4.4021500000000007</v>
      </c>
      <c r="S11" s="49">
        <f>R11*K11*1000000*29/1000000000</f>
        <v>8.7487008455000015E-2</v>
      </c>
      <c r="T11" s="50">
        <f>I11+M11</f>
        <v>3.8720500000000002</v>
      </c>
      <c r="U11" s="50">
        <f>T11*K11*1000000*9/1000000000</f>
        <v>2.3881642785000004E-2</v>
      </c>
      <c r="V11" s="50">
        <f>T11*K11*1000000*29/1000000000</f>
        <v>7.6951960085000007E-2</v>
      </c>
      <c r="W11" s="3">
        <f>U11-Q11</f>
        <v>6.36691671E-3</v>
      </c>
      <c r="X11" s="3">
        <f>S11-V11</f>
        <v>1.0535048370000008E-2</v>
      </c>
      <c r="Y11" s="3"/>
      <c r="Z11" s="3"/>
      <c r="AA11" s="3"/>
      <c r="AB11" s="3"/>
      <c r="AC11" s="3"/>
      <c r="AD11" s="3"/>
      <c r="AE11" s="3"/>
      <c r="AF11" s="3"/>
    </row>
    <row r="12" spans="1:32" ht="15.75" customHeight="1" x14ac:dyDescent="0.15">
      <c r="A12" s="35"/>
      <c r="B12" s="35"/>
      <c r="C12" s="15">
        <v>0.15</v>
      </c>
      <c r="D12" s="15">
        <v>0.86</v>
      </c>
      <c r="E12" s="15">
        <v>0.44</v>
      </c>
      <c r="F12" s="35"/>
      <c r="G12" s="16">
        <f t="array" ref="G12:I12">C12:E12*F11</f>
        <v>6.9750000000000006E-2</v>
      </c>
      <c r="H12" s="15">
        <v>0.39990000000000003</v>
      </c>
      <c r="I12" s="17">
        <v>0.2046</v>
      </c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5.75" customHeight="1" x14ac:dyDescent="0.15">
      <c r="A13" s="35"/>
      <c r="B13" s="64" t="s">
        <v>24</v>
      </c>
      <c r="C13" s="10">
        <v>0.83</v>
      </c>
      <c r="D13" s="10">
        <v>3.82</v>
      </c>
      <c r="E13" s="10">
        <v>2.92</v>
      </c>
      <c r="F13" s="35"/>
      <c r="G13" s="11">
        <f t="array" ref="G13:I13">C13:E13*F11</f>
        <v>0.38595000000000002</v>
      </c>
      <c r="H13" s="10">
        <v>1.7763</v>
      </c>
      <c r="I13" s="12">
        <v>1.3578000000000001</v>
      </c>
      <c r="J13" s="35"/>
      <c r="K13" s="35"/>
      <c r="L13" s="38">
        <v>0.27334199999999997</v>
      </c>
      <c r="M13" s="39">
        <v>0.27012700000000001</v>
      </c>
      <c r="N13" s="39">
        <v>1.64138E-3</v>
      </c>
      <c r="O13" s="39">
        <v>5.2889E-3</v>
      </c>
      <c r="P13" s="35"/>
      <c r="Q13" s="65">
        <v>1.9E-3</v>
      </c>
      <c r="R13" s="35"/>
      <c r="S13" s="49">
        <v>1.3299999999999999E-2</v>
      </c>
      <c r="T13" s="35"/>
      <c r="U13" s="50">
        <v>2.9299999999999999E-3</v>
      </c>
      <c r="V13" s="50">
        <v>9.4299999999999991E-3</v>
      </c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5.75" customHeight="1" x14ac:dyDescent="0.15">
      <c r="A14" s="35"/>
      <c r="B14" s="35"/>
      <c r="C14" s="15">
        <v>0.08</v>
      </c>
      <c r="D14" s="15">
        <v>1.52</v>
      </c>
      <c r="E14" s="15">
        <v>0.6</v>
      </c>
      <c r="F14" s="35"/>
      <c r="G14" s="25">
        <f t="array" ref="G14:I14">C14:E14*F11</f>
        <v>3.7200000000000004E-2</v>
      </c>
      <c r="H14" s="26">
        <v>0.70680000000000009</v>
      </c>
      <c r="I14" s="27">
        <v>0.27900000000000003</v>
      </c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1" t="s">
        <v>28</v>
      </c>
      <c r="X14" s="3">
        <f>X3+X7+X11</f>
        <v>0.21820409447999983</v>
      </c>
      <c r="Y14" s="3"/>
      <c r="Z14" s="3"/>
      <c r="AA14" s="3"/>
      <c r="AB14" s="3"/>
      <c r="AC14" s="3"/>
      <c r="AD14" s="3"/>
      <c r="AE14" s="3"/>
      <c r="AF14" s="3"/>
    </row>
    <row r="15" spans="1:32" ht="15.75" customHeight="1" x14ac:dyDescent="0.15">
      <c r="A15" s="59" t="s">
        <v>27</v>
      </c>
      <c r="B15" s="35"/>
      <c r="C15" s="35"/>
      <c r="D15" s="35"/>
      <c r="E15" s="35"/>
      <c r="F15" s="35"/>
      <c r="G15" s="35"/>
      <c r="H15" s="35"/>
      <c r="I15" s="35"/>
      <c r="J15" s="13">
        <v>14.24</v>
      </c>
      <c r="K15" s="14">
        <f>SUM(K3:K14)</f>
        <v>14.4513</v>
      </c>
      <c r="L15" s="14"/>
      <c r="M15" s="14"/>
      <c r="N15" s="2">
        <f t="shared" ref="N15:O15" si="0">N3+N7+N11</f>
        <v>0.30911935170599997</v>
      </c>
      <c r="O15" s="28">
        <f t="shared" si="0"/>
        <v>0.99605124438600001</v>
      </c>
      <c r="P15" s="10"/>
      <c r="Q15" s="10">
        <f>Q3+Q7+Q11</f>
        <v>0.31983541164899992</v>
      </c>
      <c r="R15" s="3"/>
      <c r="S15" s="29">
        <f>S3+S7+S11</f>
        <v>2.1401917001129998</v>
      </c>
      <c r="T15" s="3"/>
      <c r="U15" s="30">
        <f t="shared" ref="U15:V15" si="1">U3+U7+U11</f>
        <v>0.59647891209299997</v>
      </c>
      <c r="V15" s="30">
        <f t="shared" si="1"/>
        <v>1.9219876056330001</v>
      </c>
      <c r="W15" s="32">
        <v>1.99</v>
      </c>
      <c r="X15" s="3"/>
      <c r="Y15" s="3"/>
      <c r="Z15" s="3"/>
      <c r="AA15" s="3"/>
      <c r="AB15" s="3"/>
      <c r="AC15" s="3"/>
      <c r="AD15" s="3"/>
      <c r="AE15" s="3"/>
      <c r="AF15" s="3"/>
    </row>
    <row r="16" spans="1:32" ht="15.75" customHeight="1" x14ac:dyDescent="0.15">
      <c r="N16" s="33" t="s">
        <v>29</v>
      </c>
      <c r="O16" s="33" t="s">
        <v>30</v>
      </c>
      <c r="Q16" s="33" t="s">
        <v>31</v>
      </c>
      <c r="S16" s="33" t="s">
        <v>32</v>
      </c>
      <c r="U16" s="33" t="s">
        <v>33</v>
      </c>
      <c r="V16" s="33" t="s">
        <v>34</v>
      </c>
      <c r="W16" s="34" t="s">
        <v>35</v>
      </c>
    </row>
    <row r="17" spans="8:22" ht="15.75" customHeight="1" x14ac:dyDescent="0.15">
      <c r="H17" s="1"/>
      <c r="I17" s="1"/>
      <c r="N17" s="31" t="s">
        <v>28</v>
      </c>
      <c r="O17" s="31">
        <v>1.0304</v>
      </c>
      <c r="Q17" s="31" t="s">
        <v>28</v>
      </c>
      <c r="R17" s="31">
        <v>2.21</v>
      </c>
      <c r="U17" s="1" t="s">
        <v>36</v>
      </c>
      <c r="V17" s="1" t="s">
        <v>37</v>
      </c>
    </row>
    <row r="18" spans="8:22" ht="15.75" customHeight="1" x14ac:dyDescent="0.15">
      <c r="H18" s="1"/>
      <c r="I18" s="1"/>
      <c r="N18" s="31"/>
      <c r="O18" s="34" t="s">
        <v>38</v>
      </c>
      <c r="Q18" s="31"/>
      <c r="R18" s="34" t="s">
        <v>39</v>
      </c>
      <c r="U18" s="1">
        <f>U15-Q15</f>
        <v>0.27664350044400005</v>
      </c>
      <c r="V18" s="1">
        <f>S15-V15</f>
        <v>0.21820409447999967</v>
      </c>
    </row>
    <row r="19" spans="8:22" ht="15.75" customHeight="1" x14ac:dyDescent="0.15">
      <c r="H19" s="1"/>
      <c r="I19" s="1"/>
    </row>
    <row r="20" spans="8:22" ht="15.75" customHeight="1" x14ac:dyDescent="0.15">
      <c r="H20" s="1"/>
      <c r="I20" s="1"/>
      <c r="Q20" s="1"/>
      <c r="R20" s="1"/>
    </row>
    <row r="21" spans="8:22" ht="15.75" customHeight="1" x14ac:dyDescent="0.15">
      <c r="H21" s="1"/>
      <c r="I21" s="1"/>
      <c r="R21" s="1"/>
      <c r="S21" s="1"/>
    </row>
    <row r="22" spans="8:22" ht="15.75" customHeight="1" x14ac:dyDescent="0.15">
      <c r="H22" s="1"/>
      <c r="I22" s="1"/>
      <c r="R22" s="1"/>
      <c r="S22" s="1"/>
    </row>
    <row r="23" spans="8:22" ht="15.75" customHeight="1" x14ac:dyDescent="0.15">
      <c r="K23" s="1"/>
    </row>
    <row r="24" spans="8:22" ht="15.75" customHeight="1" x14ac:dyDescent="0.15">
      <c r="H24" s="1"/>
      <c r="I24" s="1"/>
      <c r="J24" s="1"/>
      <c r="K24" s="1"/>
      <c r="L24" s="1"/>
    </row>
    <row r="25" spans="8:22" ht="15.75" customHeight="1" x14ac:dyDescent="0.15">
      <c r="H25" s="1"/>
      <c r="I25" s="1"/>
      <c r="J25" s="1"/>
      <c r="K25" s="1"/>
      <c r="L25" s="1"/>
      <c r="M25" s="2"/>
      <c r="N25" s="10"/>
    </row>
    <row r="26" spans="8:22" ht="15.75" customHeight="1" x14ac:dyDescent="0.15">
      <c r="H26" s="1"/>
      <c r="P26" s="1"/>
      <c r="R26" s="1"/>
    </row>
    <row r="27" spans="8:22" ht="15.75" customHeight="1" x14ac:dyDescent="0.15">
      <c r="I27" s="1"/>
      <c r="J27" s="1"/>
      <c r="R27" s="1"/>
    </row>
    <row r="28" spans="8:22" ht="15.75" customHeight="1" x14ac:dyDescent="0.15">
      <c r="R28" s="1"/>
    </row>
    <row r="34" spans="18:18" ht="15.75" customHeight="1" x14ac:dyDescent="0.15">
      <c r="R34" s="35"/>
    </row>
    <row r="35" spans="18:18" ht="15.75" customHeight="1" x14ac:dyDescent="0.15">
      <c r="R35" s="35"/>
    </row>
    <row r="36" spans="18:18" ht="15.75" customHeight="1" x14ac:dyDescent="0.15">
      <c r="R36" s="35"/>
    </row>
    <row r="37" spans="18:18" ht="15.75" customHeight="1" x14ac:dyDescent="0.15">
      <c r="R37" s="35"/>
    </row>
    <row r="38" spans="18:18" ht="15.75" customHeight="1" x14ac:dyDescent="0.15">
      <c r="R38" s="35"/>
    </row>
    <row r="39" spans="18:18" ht="15.75" customHeight="1" x14ac:dyDescent="0.15">
      <c r="R39" s="35"/>
    </row>
  </sheetData>
  <mergeCells count="93">
    <mergeCell ref="U9:U10"/>
    <mergeCell ref="V9:V10"/>
    <mergeCell ref="R3:R6"/>
    <mergeCell ref="S3:S4"/>
    <mergeCell ref="T3:T6"/>
    <mergeCell ref="U3:U4"/>
    <mergeCell ref="V3:V4"/>
    <mergeCell ref="S5:S6"/>
    <mergeCell ref="V5:V6"/>
    <mergeCell ref="Q3:Q4"/>
    <mergeCell ref="Q5:Q6"/>
    <mergeCell ref="U5:U6"/>
    <mergeCell ref="U7:U8"/>
    <mergeCell ref="V7:V8"/>
    <mergeCell ref="C1:E1"/>
    <mergeCell ref="F1:F2"/>
    <mergeCell ref="G1:I1"/>
    <mergeCell ref="K1:K2"/>
    <mergeCell ref="A3:A6"/>
    <mergeCell ref="F3:F6"/>
    <mergeCell ref="B5:B6"/>
    <mergeCell ref="K3:K6"/>
    <mergeCell ref="R1:S1"/>
    <mergeCell ref="T1:V1"/>
    <mergeCell ref="J1:J2"/>
    <mergeCell ref="J3:J6"/>
    <mergeCell ref="J7:J10"/>
    <mergeCell ref="K7:K10"/>
    <mergeCell ref="L5:L6"/>
    <mergeCell ref="M5:M6"/>
    <mergeCell ref="L7:L8"/>
    <mergeCell ref="M7:M8"/>
    <mergeCell ref="L9:L10"/>
    <mergeCell ref="M9:M10"/>
    <mergeCell ref="L3:L4"/>
    <mergeCell ref="M3:M4"/>
    <mergeCell ref="N3:N4"/>
    <mergeCell ref="O3:O4"/>
    <mergeCell ref="L1:L2"/>
    <mergeCell ref="M1:M2"/>
    <mergeCell ref="N1:N2"/>
    <mergeCell ref="O1:O2"/>
    <mergeCell ref="P1:Q1"/>
    <mergeCell ref="U13:U14"/>
    <mergeCell ref="V13:V14"/>
    <mergeCell ref="P11:P14"/>
    <mergeCell ref="Q11:Q12"/>
    <mergeCell ref="R11:R14"/>
    <mergeCell ref="T11:T14"/>
    <mergeCell ref="U11:U12"/>
    <mergeCell ref="V11:V12"/>
    <mergeCell ref="Q13:Q14"/>
    <mergeCell ref="A15:I15"/>
    <mergeCell ref="F7:F10"/>
    <mergeCell ref="F11:F14"/>
    <mergeCell ref="J11:J14"/>
    <mergeCell ref="K11:K14"/>
    <mergeCell ref="A11:A14"/>
    <mergeCell ref="B11:B12"/>
    <mergeCell ref="B13:B14"/>
    <mergeCell ref="L13:L14"/>
    <mergeCell ref="M13:M14"/>
    <mergeCell ref="L11:L12"/>
    <mergeCell ref="M11:M12"/>
    <mergeCell ref="B1:B2"/>
    <mergeCell ref="B3:B4"/>
    <mergeCell ref="A7:A10"/>
    <mergeCell ref="B7:B8"/>
    <mergeCell ref="B9:B10"/>
    <mergeCell ref="A1:A2"/>
    <mergeCell ref="R38:R39"/>
    <mergeCell ref="N9:N10"/>
    <mergeCell ref="O9:O10"/>
    <mergeCell ref="N5:N6"/>
    <mergeCell ref="O5:O6"/>
    <mergeCell ref="N7:N8"/>
    <mergeCell ref="O7:O8"/>
    <mergeCell ref="P7:P10"/>
    <mergeCell ref="Q7:Q8"/>
    <mergeCell ref="R7:R10"/>
    <mergeCell ref="Q9:Q10"/>
    <mergeCell ref="N11:N12"/>
    <mergeCell ref="N13:N14"/>
    <mergeCell ref="O11:O12"/>
    <mergeCell ref="O13:O14"/>
    <mergeCell ref="P3:P6"/>
    <mergeCell ref="S7:S8"/>
    <mergeCell ref="T7:T10"/>
    <mergeCell ref="S9:S10"/>
    <mergeCell ref="R34:R35"/>
    <mergeCell ref="R36:R37"/>
    <mergeCell ref="S11:S12"/>
    <mergeCell ref="S13:S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table1_se+30year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Mengyu Liang</cp:lastModifiedBy>
  <dcterms:created xsi:type="dcterms:W3CDTF">2026-01-30T07:58:14Z</dcterms:created>
  <dcterms:modified xsi:type="dcterms:W3CDTF">2026-01-30T07:59:12Z</dcterms:modified>
</cp:coreProperties>
</file>