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liang77/Downloads/"/>
    </mc:Choice>
  </mc:AlternateContent>
  <xr:revisionPtr revIDLastSave="0" documentId="8_{88B65213-4B48-3646-A2CB-075413B974D5}" xr6:coauthVersionLast="47" xr6:coauthVersionMax="47" xr10:uidLastSave="{00000000-0000-0000-0000-000000000000}"/>
  <bookViews>
    <workbookView xWindow="0" yWindow="740" windowWidth="29400" windowHeight="17420" activeTab="1" xr2:uid="{00000000-000D-0000-FFFF-FFFF00000000}"/>
  </bookViews>
  <sheets>
    <sheet name="table1_se+30year" sheetId="8" r:id="rId1"/>
    <sheet name="supp.Table5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8" l="1"/>
  <c r="G14" i="8" a="1"/>
  <c r="I14" i="8" s="1"/>
  <c r="G13" i="8" a="1"/>
  <c r="G13" i="8" s="1"/>
  <c r="P11" i="8" s="1"/>
  <c r="Q11" i="8" s="1"/>
  <c r="G12" i="8" a="1"/>
  <c r="I12" i="8" s="1"/>
  <c r="O11" i="8"/>
  <c r="N11" i="8"/>
  <c r="G11" i="8" a="1"/>
  <c r="I11" i="8" s="1"/>
  <c r="T11" i="8" s="1"/>
  <c r="G11" i="8"/>
  <c r="G10" i="8" a="1"/>
  <c r="I10" i="8" s="1"/>
  <c r="G9" i="8" a="1"/>
  <c r="I9" i="8" s="1"/>
  <c r="G9" i="8"/>
  <c r="P7" i="8" s="1"/>
  <c r="Q7" i="8" s="1"/>
  <c r="G8" i="8" a="1"/>
  <c r="I8" i="8" s="1"/>
  <c r="O7" i="8"/>
  <c r="N7" i="8"/>
  <c r="N15" i="8" s="1"/>
  <c r="G7" i="8" a="1"/>
  <c r="I7" i="8" s="1"/>
  <c r="T7" i="8" s="1"/>
  <c r="G6" i="8" a="1"/>
  <c r="H6" i="8" s="1"/>
  <c r="G6" i="8"/>
  <c r="G5" i="8" a="1"/>
  <c r="I4" i="8"/>
  <c r="H4" i="8"/>
  <c r="G4" i="8"/>
  <c r="P3" i="8"/>
  <c r="Q3" i="8" s="1"/>
  <c r="O3" i="8"/>
  <c r="O15" i="8" s="1"/>
  <c r="N3" i="8"/>
  <c r="I3" i="8" a="1"/>
  <c r="I3" i="8" s="1"/>
  <c r="H3" i="8" a="1"/>
  <c r="H3" i="8" s="1"/>
  <c r="G3" i="8" a="1"/>
  <c r="G3" i="8"/>
  <c r="I5" i="8" l="1"/>
  <c r="H5" i="8"/>
  <c r="R3" i="8" s="1"/>
  <c r="S3" i="8" s="1"/>
  <c r="G5" i="8"/>
  <c r="Q15" i="8"/>
  <c r="V7" i="8"/>
  <c r="U7" i="8"/>
  <c r="W7" i="8" s="1"/>
  <c r="U11" i="8"/>
  <c r="W11" i="8" s="1"/>
  <c r="V11" i="8"/>
  <c r="I6" i="8"/>
  <c r="G8" i="8"/>
  <c r="G10" i="8"/>
  <c r="G7" i="8"/>
  <c r="H13" i="8"/>
  <c r="H8" i="8"/>
  <c r="H10" i="8"/>
  <c r="I13" i="8"/>
  <c r="H7" i="8"/>
  <c r="R7" i="8" s="1"/>
  <c r="S7" i="8" s="1"/>
  <c r="G12" i="8"/>
  <c r="G14" i="8"/>
  <c r="H12" i="8"/>
  <c r="H14" i="8"/>
  <c r="H9" i="8"/>
  <c r="H11" i="8"/>
  <c r="R11" i="8" s="1"/>
  <c r="S11" i="8" s="1"/>
  <c r="X11" i="8" l="1"/>
  <c r="X7" i="8"/>
  <c r="S15" i="8"/>
  <c r="T3" i="8"/>
  <c r="V3" i="8" l="1"/>
  <c r="U3" i="8"/>
  <c r="U15" i="8" l="1"/>
  <c r="U18" i="8" s="1"/>
  <c r="W3" i="8"/>
  <c r="V15" i="8"/>
  <c r="V18" i="8" s="1"/>
  <c r="X3" i="8"/>
  <c r="X14" i="8" s="1"/>
</calcChain>
</file>

<file path=xl/sharedStrings.xml><?xml version="1.0" encoding="utf-8"?>
<sst xmlns="http://schemas.openxmlformats.org/spreadsheetml/2006/main" count="170" uniqueCount="77">
  <si>
    <t>ATT</t>
  </si>
  <si>
    <t>n</t>
  </si>
  <si>
    <t>2008-2010</t>
  </si>
  <si>
    <t>TSMBF</t>
  </si>
  <si>
    <t>Biome</t>
  </si>
  <si>
    <t>Forest Restoration types</t>
  </si>
  <si>
    <t>Restored AGBD 
 accumulation rates
 (Mg ha-1 y-1)</t>
  </si>
  <si>
    <t>CF</t>
  </si>
  <si>
    <t>Restored AGC 
 accumulation rates
 (Mg C ha-1 y-1)</t>
  </si>
  <si>
    <t>new area (Mha)</t>
  </si>
  <si>
    <t>NR rate  (Mg C ha-1 y-1)</t>
  </si>
  <si>
    <t>new NR rate mean</t>
  </si>
  <si>
    <t>Total C stored by NR(short term)</t>
  </si>
  <si>
    <t>Total C stored by NR(long term)</t>
  </si>
  <si>
    <t>Short-term
 (9 years)</t>
  </si>
  <si>
    <t>Long-term
 (29 years)</t>
  </si>
  <si>
    <t xml:space="preserve">Average </t>
  </si>
  <si>
    <t>Short- term
 (&lt;=9 years)</t>
  </si>
  <si>
    <t>Long-term
 (&gt;9 years)</t>
  </si>
  <si>
    <t>Average</t>
  </si>
  <si>
    <t>short-term best rate</t>
  </si>
  <si>
    <t>C (gt)</t>
  </si>
  <si>
    <t>long-term best rate</t>
  </si>
  <si>
    <t>avergae restored rate</t>
  </si>
  <si>
    <t>short-term C</t>
  </si>
  <si>
    <t>long-term C</t>
  </si>
  <si>
    <t>AR</t>
  </si>
  <si>
    <t>ANR</t>
  </si>
  <si>
    <t>TSGSS</t>
  </si>
  <si>
    <t>MGS</t>
  </si>
  <si>
    <t>Total C using best forest restoration (Gt)</t>
  </si>
  <si>
    <t xml:space="preserve">30 year </t>
  </si>
  <si>
    <t>(±)0.038</t>
  </si>
  <si>
    <t>(±)0.122</t>
  </si>
  <si>
    <t>(±)0.0410</t>
  </si>
  <si>
    <t>(±)0.356</t>
  </si>
  <si>
    <t>(±)0.103</t>
  </si>
  <si>
    <t>(±)0.330</t>
  </si>
  <si>
    <t>(±)0.342</t>
  </si>
  <si>
    <t>overestimate by</t>
  </si>
  <si>
    <t>underestimate by</t>
  </si>
  <si>
    <t>(±)0.125996</t>
  </si>
  <si>
    <t>(±)0.368</t>
  </si>
  <si>
    <t>Forest restoration</t>
  </si>
  <si>
    <t>Before or after 2012</t>
  </si>
  <si>
    <t>Years since treatment</t>
  </si>
  <si>
    <t>Restoration age group</t>
  </si>
  <si>
    <t>SE (MT100)</t>
  </si>
  <si>
    <t>Confidence lower (MT100)</t>
  </si>
  <si>
    <t>Confidence
 higher (MT100)</t>
  </si>
  <si>
    <t>moist broadleaf forests</t>
  </si>
  <si>
    <t>after</t>
  </si>
  <si>
    <t>2020-2019</t>
  </si>
  <si>
    <t>2018-2016</t>
  </si>
  <si>
    <t>before</t>
  </si>
  <si>
    <t>2010-2008</t>
  </si>
  <si>
    <t>14-16</t>
  </si>
  <si>
    <t>2007-2005</t>
  </si>
  <si>
    <t>21-23</t>
  </si>
  <si>
    <t>2000-1998</t>
  </si>
  <si>
    <t>24-25</t>
  </si>
  <si>
    <t>1997-1996</t>
  </si>
  <si>
    <t>2014-2013</t>
  </si>
  <si>
    <t>2012-2011</t>
  </si>
  <si>
    <t>savannas &amp; dry forests</t>
  </si>
  <si>
    <t>2015-2013</t>
  </si>
  <si>
    <t>2012-2010</t>
  </si>
  <si>
    <t>2019-2018</t>
  </si>
  <si>
    <t>2017-2015</t>
  </si>
  <si>
    <t>16-18</t>
  </si>
  <si>
    <t>2005-2003</t>
  </si>
  <si>
    <t>19-21</t>
  </si>
  <si>
    <t>2002-2000</t>
  </si>
  <si>
    <t>montane shrublands &amp; forests</t>
  </si>
  <si>
    <t>15-17</t>
  </si>
  <si>
    <t>2006-2004</t>
  </si>
  <si>
    <t>Areas suitable for restoration (old projection)
 (Griscom et al.35) 
 (Million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</si>
</sst>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\-d"/>
  </numFmts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rgb="FF000000"/>
      <name val="Times New Roman"/>
    </font>
    <font>
      <strike/>
      <sz val="11"/>
      <color theme="1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strike/>
      <sz val="11"/>
      <color rgb="FF000000"/>
      <name val="Times New Roman"/>
    </font>
    <font>
      <sz val="11"/>
      <color rgb="FF000000"/>
      <name val="Times New Roman"/>
    </font>
    <font>
      <sz val="11"/>
      <color rgb="FF0A0A0A"/>
      <name val="Times New Roman"/>
    </font>
    <font>
      <sz val="10"/>
      <color theme="1"/>
      <name val="Arial"/>
    </font>
    <font>
      <b/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9">
    <border>
      <left/>
      <right/>
      <top/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5" borderId="0" xfId="0" applyFont="1" applyFill="1"/>
    <xf numFmtId="0" fontId="4" fillId="0" borderId="0" xfId="0" applyFont="1" applyAlignment="1">
      <alignment horizontal="center" vertical="top"/>
    </xf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5" borderId="0" xfId="0" applyFont="1" applyFill="1" applyAlignment="1">
      <alignment vertical="center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9" fillId="4" borderId="0" xfId="0" applyFont="1" applyFill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0" fontId="9" fillId="4" borderId="5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0" fillId="0" borderId="0" xfId="0" applyFont="1"/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0" fontId="5" fillId="9" borderId="0" xfId="0" applyFont="1" applyFill="1" applyAlignment="1">
      <alignment horizontal="center" vertical="top"/>
    </xf>
    <xf numFmtId="0" fontId="5" fillId="9" borderId="0" xfId="0" applyFont="1" applyFill="1"/>
    <xf numFmtId="0" fontId="5" fillId="0" borderId="0" xfId="0" applyFont="1"/>
    <xf numFmtId="0" fontId="1" fillId="10" borderId="0" xfId="0" applyFont="1" applyFill="1"/>
    <xf numFmtId="0" fontId="3" fillId="10" borderId="0" xfId="0" applyFont="1" applyFill="1"/>
    <xf numFmtId="0" fontId="13" fillId="11" borderId="0" xfId="0" applyFont="1" applyFill="1" applyAlignment="1">
      <alignment horizontal="right"/>
    </xf>
    <xf numFmtId="0" fontId="13" fillId="10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0" fontId="14" fillId="5" borderId="0" xfId="0" applyFont="1" applyFill="1"/>
    <xf numFmtId="0" fontId="3" fillId="12" borderId="0" xfId="0" applyFont="1" applyFill="1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1" fillId="12" borderId="0" xfId="0" applyFont="1" applyFill="1"/>
    <xf numFmtId="0" fontId="3" fillId="13" borderId="0" xfId="0" applyFont="1" applyFill="1" applyAlignment="1">
      <alignment horizontal="center"/>
    </xf>
    <xf numFmtId="166" fontId="3" fillId="13" borderId="0" xfId="0" applyNumberFormat="1" applyFont="1" applyFill="1" applyAlignment="1">
      <alignment horizontal="center"/>
    </xf>
    <xf numFmtId="0" fontId="1" fillId="13" borderId="0" xfId="0" applyFont="1" applyFill="1"/>
    <xf numFmtId="0" fontId="3" fillId="14" borderId="0" xfId="0" applyFont="1" applyFill="1" applyAlignment="1">
      <alignment horizontal="center"/>
    </xf>
    <xf numFmtId="166" fontId="3" fillId="14" borderId="0" xfId="0" applyNumberFormat="1" applyFont="1" applyFill="1" applyAlignment="1">
      <alignment horizontal="center"/>
    </xf>
    <xf numFmtId="0" fontId="1" fillId="14" borderId="0" xfId="0" applyFont="1" applyFill="1"/>
    <xf numFmtId="0" fontId="14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3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3" fontId="3" fillId="12" borderId="0" xfId="0" applyNumberFormat="1" applyFont="1" applyFill="1" applyAlignment="1">
      <alignment horizontal="center"/>
    </xf>
    <xf numFmtId="2" fontId="3" fillId="12" borderId="0" xfId="0" applyNumberFormat="1" applyFont="1" applyFill="1" applyAlignment="1">
      <alignment horizontal="center"/>
    </xf>
    <xf numFmtId="3" fontId="3" fillId="13" borderId="0" xfId="0" applyNumberFormat="1" applyFont="1" applyFill="1" applyAlignment="1">
      <alignment horizontal="center"/>
    </xf>
    <xf numFmtId="2" fontId="3" fillId="13" borderId="0" xfId="0" applyNumberFormat="1" applyFont="1" applyFill="1" applyAlignment="1">
      <alignment horizontal="center"/>
    </xf>
    <xf numFmtId="3" fontId="3" fillId="14" borderId="0" xfId="0" applyNumberFormat="1" applyFont="1" applyFill="1" applyAlignment="1">
      <alignment horizontal="center"/>
    </xf>
    <xf numFmtId="2" fontId="3" fillId="14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2" fontId="1" fillId="0" borderId="0" xfId="0" applyNumberFormat="1" applyFont="1"/>
    <xf numFmtId="2" fontId="14" fillId="0" borderId="0" xfId="0" applyNumberFormat="1" applyFont="1" applyAlignment="1">
      <alignment horizontal="right"/>
    </xf>
    <xf numFmtId="0" fontId="0" fillId="0" borderId="0" xfId="0"/>
    <xf numFmtId="0" fontId="12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top"/>
    </xf>
    <xf numFmtId="0" fontId="9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39"/>
  <sheetViews>
    <sheetView workbookViewId="0">
      <selection activeCell="O22" sqref="O22"/>
    </sheetView>
  </sheetViews>
  <sheetFormatPr baseColWidth="10" defaultColWidth="12.6640625" defaultRowHeight="15.75" customHeight="1" x14ac:dyDescent="0.15"/>
  <sheetData>
    <row r="1" spans="1:32" ht="15.75" customHeight="1" x14ac:dyDescent="0.15">
      <c r="A1" s="97" t="s">
        <v>4</v>
      </c>
      <c r="B1" s="97" t="s">
        <v>5</v>
      </c>
      <c r="C1" s="80" t="s">
        <v>6</v>
      </c>
      <c r="D1" s="73"/>
      <c r="E1" s="73"/>
      <c r="F1" s="92" t="s">
        <v>7</v>
      </c>
      <c r="G1" s="98" t="s">
        <v>8</v>
      </c>
      <c r="H1" s="99"/>
      <c r="I1" s="100"/>
      <c r="J1" s="107" t="s">
        <v>76</v>
      </c>
      <c r="K1" s="92" t="s">
        <v>9</v>
      </c>
      <c r="L1" s="92" t="s">
        <v>10</v>
      </c>
      <c r="M1" s="93" t="s">
        <v>11</v>
      </c>
      <c r="N1" s="93" t="s">
        <v>12</v>
      </c>
      <c r="O1" s="93" t="s">
        <v>13</v>
      </c>
      <c r="P1" s="94" t="s">
        <v>14</v>
      </c>
      <c r="Q1" s="73"/>
      <c r="R1" s="95" t="s">
        <v>15</v>
      </c>
      <c r="S1" s="73"/>
      <c r="T1" s="96" t="s">
        <v>16</v>
      </c>
      <c r="U1" s="73"/>
      <c r="V1" s="73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.75" customHeight="1" x14ac:dyDescent="0.15">
      <c r="A2" s="73"/>
      <c r="B2" s="73"/>
      <c r="C2" s="5" t="s">
        <v>17</v>
      </c>
      <c r="D2" s="5" t="s">
        <v>18</v>
      </c>
      <c r="E2" s="5" t="s">
        <v>19</v>
      </c>
      <c r="F2" s="73"/>
      <c r="G2" s="7" t="s">
        <v>17</v>
      </c>
      <c r="H2" s="5" t="s">
        <v>18</v>
      </c>
      <c r="I2" s="8" t="s">
        <v>19</v>
      </c>
      <c r="J2" s="73"/>
      <c r="K2" s="73"/>
      <c r="L2" s="73"/>
      <c r="M2" s="73"/>
      <c r="N2" s="73"/>
      <c r="O2" s="73"/>
      <c r="P2" s="9" t="s">
        <v>20</v>
      </c>
      <c r="Q2" s="10" t="s">
        <v>21</v>
      </c>
      <c r="R2" s="11" t="s">
        <v>22</v>
      </c>
      <c r="S2" s="11" t="s">
        <v>21</v>
      </c>
      <c r="T2" s="12" t="s">
        <v>23</v>
      </c>
      <c r="U2" s="12" t="s">
        <v>24</v>
      </c>
      <c r="V2" s="12" t="s">
        <v>25</v>
      </c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15.75" customHeight="1" x14ac:dyDescent="0.15">
      <c r="A3" s="97" t="s">
        <v>3</v>
      </c>
      <c r="B3" s="102" t="s">
        <v>26</v>
      </c>
      <c r="C3" s="13">
        <v>-4.13</v>
      </c>
      <c r="D3" s="13">
        <v>4.92</v>
      </c>
      <c r="E3" s="13">
        <v>4.88</v>
      </c>
      <c r="F3" s="101">
        <v>0.45600000000000002</v>
      </c>
      <c r="G3" s="14">
        <f t="array" ref="G3">C3*F3</f>
        <v>-1.8832800000000001</v>
      </c>
      <c r="H3" s="13">
        <f t="array" ref="H3">D3*F3</f>
        <v>2.2435200000000002</v>
      </c>
      <c r="I3" s="15">
        <f t="array" ref="I3">E3*F3</f>
        <v>2.2252800000000001</v>
      </c>
      <c r="J3" s="81">
        <v>7.35</v>
      </c>
      <c r="K3" s="84">
        <v>7.4326999999999996</v>
      </c>
      <c r="L3" s="85">
        <v>2.6754099999999998</v>
      </c>
      <c r="M3" s="77">
        <v>2.5965699999999998</v>
      </c>
      <c r="N3" s="77">
        <f>K3*M3*1000000*9/1000000000</f>
        <v>0.17369573255099996</v>
      </c>
      <c r="O3" s="77">
        <f>K3*M3*1000000*29/1000000000</f>
        <v>0.55968624933099997</v>
      </c>
      <c r="P3" s="103">
        <f>M3</f>
        <v>2.5965699999999998</v>
      </c>
      <c r="Q3" s="103">
        <f>P3*K3*1000000*9/1000000000</f>
        <v>0.17369573255099996</v>
      </c>
      <c r="R3" s="86">
        <f>H5+M3</f>
        <v>5.9025699999999999</v>
      </c>
      <c r="S3" s="87">
        <f>R3*K3*1000000*29/1000000000</f>
        <v>1.2722889291309998</v>
      </c>
      <c r="T3" s="88">
        <f>I5+M3</f>
        <v>5.1182499999999997</v>
      </c>
      <c r="U3" s="88">
        <f>T3*K3*1000000*9/1000000000</f>
        <v>0.34238175097499995</v>
      </c>
      <c r="V3" s="88">
        <f>T3*K3*1000000*29/1000000000</f>
        <v>1.103230086475</v>
      </c>
      <c r="W3" s="6">
        <f>U3-Q3</f>
        <v>0.16868601842399999</v>
      </c>
      <c r="X3" s="6">
        <f>S3-V3</f>
        <v>0.1690588426559998</v>
      </c>
      <c r="Y3" s="6"/>
      <c r="Z3" s="6"/>
      <c r="AA3" s="6"/>
      <c r="AB3" s="6"/>
      <c r="AC3" s="6"/>
      <c r="AD3" s="6"/>
      <c r="AE3" s="6"/>
      <c r="AF3" s="6"/>
    </row>
    <row r="4" spans="1:32" ht="15.75" customHeight="1" x14ac:dyDescent="0.15">
      <c r="A4" s="73"/>
      <c r="B4" s="73"/>
      <c r="C4" s="18">
        <v>0.4</v>
      </c>
      <c r="D4" s="18">
        <v>0.65</v>
      </c>
      <c r="E4" s="18">
        <v>0.65</v>
      </c>
      <c r="F4" s="73"/>
      <c r="G4" s="19">
        <f>C4*F3</f>
        <v>0.18240000000000001</v>
      </c>
      <c r="H4" s="18">
        <f>D4*F3</f>
        <v>0.2964</v>
      </c>
      <c r="I4" s="20">
        <f>E4*F3</f>
        <v>0.2964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15.75" customHeight="1" x14ac:dyDescent="0.15">
      <c r="A5" s="73"/>
      <c r="B5" s="102" t="s">
        <v>27</v>
      </c>
      <c r="C5" s="5">
        <v>-2.2000000000000002</v>
      </c>
      <c r="D5" s="5">
        <v>7.25</v>
      </c>
      <c r="E5" s="5">
        <v>5.53</v>
      </c>
      <c r="F5" s="73"/>
      <c r="G5" s="7">
        <f t="array" ref="G5:I5">C5:E5*F3</f>
        <v>-1.0032000000000001</v>
      </c>
      <c r="H5" s="5">
        <v>3.306</v>
      </c>
      <c r="I5" s="8">
        <v>2.5216800000000004</v>
      </c>
      <c r="J5" s="73"/>
      <c r="K5" s="73"/>
      <c r="L5" s="76">
        <v>0.30601400000000001</v>
      </c>
      <c r="M5" s="77">
        <v>0.29671900000000001</v>
      </c>
      <c r="N5" s="77">
        <v>1.9752410000000001E-2</v>
      </c>
      <c r="O5" s="77">
        <v>6.36467E-2</v>
      </c>
      <c r="P5" s="73"/>
      <c r="Q5" s="103">
        <v>1.9800000000000002E-2</v>
      </c>
      <c r="R5" s="73"/>
      <c r="S5" s="87">
        <v>0.22800000000000001</v>
      </c>
      <c r="T5" s="73"/>
      <c r="U5" s="88">
        <v>6.6650000000000001E-2</v>
      </c>
      <c r="V5" s="88">
        <v>0.214</v>
      </c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15.75" customHeight="1" x14ac:dyDescent="0.15">
      <c r="A6" s="73"/>
      <c r="B6" s="73"/>
      <c r="C6" s="21">
        <v>1.08</v>
      </c>
      <c r="D6" s="21">
        <v>1.67</v>
      </c>
      <c r="E6" s="21">
        <v>1.53</v>
      </c>
      <c r="F6" s="73"/>
      <c r="G6" s="22">
        <f t="array" ref="G6:I6">C6:E6*F3</f>
        <v>0.49248000000000003</v>
      </c>
      <c r="H6" s="21">
        <v>0.76151999999999997</v>
      </c>
      <c r="I6" s="23">
        <v>0.69768000000000008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15.75" customHeight="1" x14ac:dyDescent="0.15">
      <c r="A7" s="105" t="s">
        <v>28</v>
      </c>
      <c r="B7" s="106" t="s">
        <v>26</v>
      </c>
      <c r="C7" s="24">
        <v>-0.21299999999999999</v>
      </c>
      <c r="D7" s="24">
        <v>4.68</v>
      </c>
      <c r="E7" s="24">
        <v>4.22</v>
      </c>
      <c r="F7" s="101">
        <v>0.45700000000000002</v>
      </c>
      <c r="G7" s="25">
        <f t="array" ref="G7:I7">C7:E7*F7</f>
        <v>-9.7340999999999997E-2</v>
      </c>
      <c r="H7" s="24">
        <v>2.13876</v>
      </c>
      <c r="I7" s="26">
        <v>1.9285399999999999</v>
      </c>
      <c r="J7" s="82">
        <v>6.36</v>
      </c>
      <c r="K7" s="83">
        <v>6.3333000000000004</v>
      </c>
      <c r="L7" s="78">
        <v>2.1698200000000001</v>
      </c>
      <c r="M7" s="75">
        <v>2.1103499999999999</v>
      </c>
      <c r="N7" s="75">
        <f>K7*M7*1000000*9/1000000000</f>
        <v>0.120289316895</v>
      </c>
      <c r="O7" s="75">
        <f>K7*M7*1000000*29/1000000000</f>
        <v>0.38759890999500002</v>
      </c>
      <c r="P7" s="79">
        <f>M7+G9</f>
        <v>2.2565900000000001</v>
      </c>
      <c r="Q7" s="79">
        <f>P7*K7*1000000*9/1000000000</f>
        <v>0.128624953023</v>
      </c>
      <c r="R7" s="89">
        <f>H7+M7</f>
        <v>4.2491099999999999</v>
      </c>
      <c r="S7" s="90">
        <f>R7*K7*1000000*29/1000000000</f>
        <v>0.78041576252700007</v>
      </c>
      <c r="T7" s="91">
        <f>I7+M7</f>
        <v>4.0388900000000003</v>
      </c>
      <c r="U7" s="91">
        <f>T7*K7*1000000*9/1000000000</f>
        <v>0.23021551833300002</v>
      </c>
      <c r="V7" s="91">
        <f>T7*K7*1000000*29/1000000000</f>
        <v>0.74180555907300005</v>
      </c>
      <c r="W7" s="27">
        <f>U7-Q7</f>
        <v>0.10159056531000002</v>
      </c>
      <c r="X7" s="27">
        <f>S7-V7</f>
        <v>3.8610203454000014E-2</v>
      </c>
      <c r="Y7" s="27"/>
      <c r="Z7" s="27"/>
      <c r="AA7" s="27"/>
      <c r="AB7" s="27"/>
      <c r="AC7" s="27"/>
      <c r="AD7" s="27"/>
      <c r="AE7" s="27"/>
      <c r="AF7" s="27"/>
    </row>
    <row r="8" spans="1:32" ht="15.75" customHeight="1" x14ac:dyDescent="0.15">
      <c r="A8" s="73"/>
      <c r="B8" s="73"/>
      <c r="C8" s="18">
        <v>0.38</v>
      </c>
      <c r="D8" s="18">
        <v>0.73</v>
      </c>
      <c r="E8" s="18">
        <v>0.64</v>
      </c>
      <c r="F8" s="73"/>
      <c r="G8" s="19">
        <f t="array" ref="G8:I8">C8:E8*F7</f>
        <v>0.17366000000000001</v>
      </c>
      <c r="H8" s="18">
        <v>0.33361000000000002</v>
      </c>
      <c r="I8" s="20">
        <v>0.29248000000000002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15.75" customHeight="1" x14ac:dyDescent="0.15">
      <c r="A9" s="73"/>
      <c r="B9" s="106" t="s">
        <v>27</v>
      </c>
      <c r="C9" s="24">
        <v>0.32</v>
      </c>
      <c r="D9" s="24">
        <v>1.93</v>
      </c>
      <c r="E9" s="24">
        <v>1.42</v>
      </c>
      <c r="F9" s="73"/>
      <c r="G9" s="25">
        <f t="array" ref="G9:I9">C9:E9*F7</f>
        <v>0.14624000000000001</v>
      </c>
      <c r="H9" s="24">
        <v>0.88200999999999996</v>
      </c>
      <c r="I9" s="26">
        <v>0.64893999999999996</v>
      </c>
      <c r="J9" s="73"/>
      <c r="K9" s="73"/>
      <c r="L9" s="74">
        <v>0.29653600000000002</v>
      </c>
      <c r="M9" s="75">
        <v>0.28836899999999999</v>
      </c>
      <c r="N9" s="75">
        <v>1.6405070000000001E-2</v>
      </c>
      <c r="O9" s="75">
        <v>5.2860799999999999E-2</v>
      </c>
      <c r="P9" s="73"/>
      <c r="Q9" s="79">
        <v>1.9300000000000001E-2</v>
      </c>
      <c r="R9" s="73"/>
      <c r="S9" s="90">
        <v>0.114</v>
      </c>
      <c r="T9" s="73"/>
      <c r="U9" s="91">
        <v>3.3099999999999997E-2</v>
      </c>
      <c r="V9" s="91">
        <v>0.107</v>
      </c>
      <c r="W9" s="27"/>
      <c r="X9" s="27"/>
      <c r="Y9" s="27"/>
      <c r="Z9" s="27"/>
      <c r="AA9" s="27"/>
      <c r="AB9" s="27"/>
      <c r="AC9" s="27"/>
      <c r="AD9" s="27"/>
      <c r="AE9" s="27"/>
      <c r="AF9" s="27"/>
    </row>
    <row r="10" spans="1:32" ht="15.75" customHeight="1" x14ac:dyDescent="0.15">
      <c r="A10" s="73"/>
      <c r="B10" s="73"/>
      <c r="C10" s="18">
        <v>0.11</v>
      </c>
      <c r="D10" s="18">
        <v>0.05</v>
      </c>
      <c r="E10" s="18">
        <v>0.25</v>
      </c>
      <c r="F10" s="73"/>
      <c r="G10" s="19">
        <f t="array" ref="G10:I10">C10:E10*F7</f>
        <v>5.0270000000000002E-2</v>
      </c>
      <c r="H10" s="18">
        <v>2.2850000000000002E-2</v>
      </c>
      <c r="I10" s="20">
        <v>0.11425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15.75" customHeight="1" x14ac:dyDescent="0.15">
      <c r="A11" s="97" t="s">
        <v>29</v>
      </c>
      <c r="B11" s="102" t="s">
        <v>26</v>
      </c>
      <c r="C11" s="13">
        <v>-0.26</v>
      </c>
      <c r="D11" s="13">
        <v>4.1900000000000004</v>
      </c>
      <c r="E11" s="13">
        <v>3.05</v>
      </c>
      <c r="F11" s="104">
        <v>0.46500000000000002</v>
      </c>
      <c r="G11" s="14">
        <f t="array" ref="G11:I11">C11:E11*F11</f>
        <v>-0.12090000000000001</v>
      </c>
      <c r="H11" s="13">
        <v>1.9483500000000002</v>
      </c>
      <c r="I11" s="15">
        <v>1.41825</v>
      </c>
      <c r="J11" s="81">
        <v>0.53</v>
      </c>
      <c r="K11" s="84">
        <v>0.68530000000000002</v>
      </c>
      <c r="L11" s="85">
        <v>2.4796999999999998</v>
      </c>
      <c r="M11" s="77">
        <v>2.4538000000000002</v>
      </c>
      <c r="N11" s="77">
        <f>K11*M11*1000000*9/1000000000</f>
        <v>1.5134302260000003E-2</v>
      </c>
      <c r="O11" s="77">
        <f>K11*M11*1000000*29/1000000000</f>
        <v>4.8766085060000013E-2</v>
      </c>
      <c r="P11" s="103">
        <f>M11+G13</f>
        <v>2.8397500000000004</v>
      </c>
      <c r="Q11" s="103">
        <f>P11*K11*1000000*9/1000000000</f>
        <v>1.7514726075000004E-2</v>
      </c>
      <c r="R11" s="86">
        <f>H11+M11</f>
        <v>4.4021500000000007</v>
      </c>
      <c r="S11" s="87">
        <f>R11*K11*1000000*29/1000000000</f>
        <v>8.7487008455000015E-2</v>
      </c>
      <c r="T11" s="88">
        <f>I11+M11</f>
        <v>3.8720500000000002</v>
      </c>
      <c r="U11" s="88">
        <f>T11*K11*1000000*9/1000000000</f>
        <v>2.3881642785000004E-2</v>
      </c>
      <c r="V11" s="88">
        <f>T11*K11*1000000*29/1000000000</f>
        <v>7.6951960085000007E-2</v>
      </c>
      <c r="W11" s="6">
        <f>U11-Q11</f>
        <v>6.36691671E-3</v>
      </c>
      <c r="X11" s="6">
        <f>S11-V11</f>
        <v>1.0535048370000008E-2</v>
      </c>
      <c r="Y11" s="6"/>
      <c r="Z11" s="6"/>
      <c r="AA11" s="6"/>
      <c r="AB11" s="6"/>
      <c r="AC11" s="6"/>
      <c r="AD11" s="6"/>
      <c r="AE11" s="6"/>
      <c r="AF11" s="6"/>
    </row>
    <row r="12" spans="1:32" ht="15.75" customHeight="1" x14ac:dyDescent="0.15">
      <c r="A12" s="73"/>
      <c r="B12" s="73"/>
      <c r="C12" s="18">
        <v>0.15</v>
      </c>
      <c r="D12" s="18">
        <v>0.86</v>
      </c>
      <c r="E12" s="18">
        <v>0.44</v>
      </c>
      <c r="F12" s="73"/>
      <c r="G12" s="19">
        <f t="array" ref="G12:I12">C12:E12*F11</f>
        <v>6.9750000000000006E-2</v>
      </c>
      <c r="H12" s="18">
        <v>0.39990000000000003</v>
      </c>
      <c r="I12" s="20">
        <v>0.2046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15.75" customHeight="1" x14ac:dyDescent="0.15">
      <c r="A13" s="73"/>
      <c r="B13" s="102" t="s">
        <v>27</v>
      </c>
      <c r="C13" s="13">
        <v>0.83</v>
      </c>
      <c r="D13" s="13">
        <v>3.82</v>
      </c>
      <c r="E13" s="13">
        <v>2.92</v>
      </c>
      <c r="F13" s="73"/>
      <c r="G13" s="14">
        <f t="array" ref="G13:I13">C13:E13*F11</f>
        <v>0.38595000000000002</v>
      </c>
      <c r="H13" s="13">
        <v>1.7763</v>
      </c>
      <c r="I13" s="15">
        <v>1.3578000000000001</v>
      </c>
      <c r="J13" s="73"/>
      <c r="K13" s="73"/>
      <c r="L13" s="76">
        <v>0.27334199999999997</v>
      </c>
      <c r="M13" s="77">
        <v>0.27012700000000001</v>
      </c>
      <c r="N13" s="77">
        <v>1.64138E-3</v>
      </c>
      <c r="O13" s="77">
        <v>5.2889E-3</v>
      </c>
      <c r="P13" s="73"/>
      <c r="Q13" s="103">
        <v>1.9E-3</v>
      </c>
      <c r="R13" s="73"/>
      <c r="S13" s="87">
        <v>1.3299999999999999E-2</v>
      </c>
      <c r="T13" s="73"/>
      <c r="U13" s="88">
        <v>2.9299999999999999E-3</v>
      </c>
      <c r="V13" s="88">
        <v>9.4299999999999991E-3</v>
      </c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15.75" customHeight="1" x14ac:dyDescent="0.15">
      <c r="A14" s="73"/>
      <c r="B14" s="73"/>
      <c r="C14" s="18">
        <v>0.08</v>
      </c>
      <c r="D14" s="18">
        <v>1.52</v>
      </c>
      <c r="E14" s="18">
        <v>0.6</v>
      </c>
      <c r="F14" s="73"/>
      <c r="G14" s="28">
        <f t="array" ref="G14:I14">C14:E14*F11</f>
        <v>3.7200000000000004E-2</v>
      </c>
      <c r="H14" s="29">
        <v>0.70680000000000009</v>
      </c>
      <c r="I14" s="30">
        <v>0.27900000000000003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34" t="s">
        <v>31</v>
      </c>
      <c r="X14" s="6">
        <f>X3+X7+X11</f>
        <v>0.21820409447999983</v>
      </c>
      <c r="Y14" s="6"/>
      <c r="Z14" s="6"/>
      <c r="AA14" s="6"/>
      <c r="AB14" s="6"/>
      <c r="AC14" s="6"/>
      <c r="AD14" s="6"/>
      <c r="AE14" s="6"/>
      <c r="AF14" s="6"/>
    </row>
    <row r="15" spans="1:32" ht="15.75" customHeight="1" x14ac:dyDescent="0.15">
      <c r="A15" s="97" t="s">
        <v>30</v>
      </c>
      <c r="B15" s="73"/>
      <c r="C15" s="73"/>
      <c r="D15" s="73"/>
      <c r="E15" s="73"/>
      <c r="F15" s="73"/>
      <c r="G15" s="73"/>
      <c r="H15" s="73"/>
      <c r="I15" s="73"/>
      <c r="J15" s="16">
        <v>14.24</v>
      </c>
      <c r="K15" s="17">
        <f>SUM(K3:K14)</f>
        <v>14.4513</v>
      </c>
      <c r="L15" s="17"/>
      <c r="M15" s="17"/>
      <c r="N15" s="5">
        <f t="shared" ref="N15:O15" si="0">N3+N7+N11</f>
        <v>0.30911935170599997</v>
      </c>
      <c r="O15" s="31">
        <f t="shared" si="0"/>
        <v>0.99605124438600001</v>
      </c>
      <c r="P15" s="13"/>
      <c r="Q15" s="13">
        <f>Q3+Q7+Q11</f>
        <v>0.31983541164899992</v>
      </c>
      <c r="R15" s="6"/>
      <c r="S15" s="32">
        <f>S3+S7+S11</f>
        <v>2.1401917001129998</v>
      </c>
      <c r="T15" s="6"/>
      <c r="U15" s="33">
        <f t="shared" ref="U15:V15" si="1">U3+U7+U11</f>
        <v>0.59647891209299997</v>
      </c>
      <c r="V15" s="33">
        <f t="shared" si="1"/>
        <v>1.9219876056330001</v>
      </c>
      <c r="W15" s="35">
        <v>1.99</v>
      </c>
      <c r="X15" s="6"/>
      <c r="Y15" s="6"/>
      <c r="Z15" s="6"/>
      <c r="AA15" s="6"/>
      <c r="AB15" s="6"/>
      <c r="AC15" s="6"/>
      <c r="AD15" s="6"/>
      <c r="AE15" s="6"/>
      <c r="AF15" s="6"/>
    </row>
    <row r="16" spans="1:32" ht="15.75" customHeight="1" x14ac:dyDescent="0.15">
      <c r="N16" s="36" t="s">
        <v>32</v>
      </c>
      <c r="O16" s="36" t="s">
        <v>33</v>
      </c>
      <c r="Q16" s="36" t="s">
        <v>34</v>
      </c>
      <c r="S16" s="36" t="s">
        <v>35</v>
      </c>
      <c r="U16" s="36" t="s">
        <v>36</v>
      </c>
      <c r="V16" s="36" t="s">
        <v>37</v>
      </c>
      <c r="W16" s="37" t="s">
        <v>38</v>
      </c>
    </row>
    <row r="17" spans="8:22" ht="15.75" customHeight="1" x14ac:dyDescent="0.15">
      <c r="H17" s="1"/>
      <c r="I17" s="1"/>
      <c r="N17" s="34" t="s">
        <v>31</v>
      </c>
      <c r="O17" s="34">
        <v>1.0304</v>
      </c>
      <c r="Q17" s="34" t="s">
        <v>31</v>
      </c>
      <c r="R17" s="34">
        <v>2.21</v>
      </c>
      <c r="U17" s="1" t="s">
        <v>39</v>
      </c>
      <c r="V17" s="1" t="s">
        <v>40</v>
      </c>
    </row>
    <row r="18" spans="8:22" ht="15.75" customHeight="1" x14ac:dyDescent="0.15">
      <c r="H18" s="1"/>
      <c r="I18" s="1"/>
      <c r="N18" s="34"/>
      <c r="O18" s="37" t="s">
        <v>41</v>
      </c>
      <c r="Q18" s="34"/>
      <c r="R18" s="37" t="s">
        <v>42</v>
      </c>
      <c r="U18" s="1">
        <f>U15-Q15</f>
        <v>0.27664350044400005</v>
      </c>
      <c r="V18" s="1">
        <f>S15-V15</f>
        <v>0.21820409447999967</v>
      </c>
    </row>
    <row r="19" spans="8:22" ht="15.75" customHeight="1" x14ac:dyDescent="0.15">
      <c r="H19" s="1"/>
      <c r="I19" s="1"/>
    </row>
    <row r="20" spans="8:22" ht="15.75" customHeight="1" x14ac:dyDescent="0.15">
      <c r="H20" s="1"/>
      <c r="I20" s="1"/>
      <c r="Q20" s="1"/>
      <c r="R20" s="1"/>
    </row>
    <row r="21" spans="8:22" ht="15.75" customHeight="1" x14ac:dyDescent="0.15">
      <c r="H21" s="1"/>
      <c r="I21" s="1"/>
      <c r="R21" s="1"/>
      <c r="S21" s="1"/>
    </row>
    <row r="22" spans="8:22" ht="15.75" customHeight="1" x14ac:dyDescent="0.15">
      <c r="H22" s="1"/>
      <c r="I22" s="1"/>
      <c r="R22" s="1"/>
      <c r="S22" s="1"/>
    </row>
    <row r="23" spans="8:22" ht="15.75" customHeight="1" x14ac:dyDescent="0.15">
      <c r="K23" s="1"/>
    </row>
    <row r="24" spans="8:22" ht="15.75" customHeight="1" x14ac:dyDescent="0.15">
      <c r="H24" s="1"/>
      <c r="I24" s="1"/>
      <c r="J24" s="1"/>
      <c r="K24" s="1"/>
      <c r="L24" s="1"/>
    </row>
    <row r="25" spans="8:22" ht="15.75" customHeight="1" x14ac:dyDescent="0.15">
      <c r="H25" s="1"/>
      <c r="I25" s="1"/>
      <c r="J25" s="1"/>
      <c r="K25" s="1"/>
      <c r="L25" s="1"/>
      <c r="M25" s="5"/>
      <c r="N25" s="13"/>
    </row>
    <row r="26" spans="8:22" ht="15.75" customHeight="1" x14ac:dyDescent="0.15">
      <c r="H26" s="1"/>
      <c r="P26" s="1"/>
      <c r="R26" s="1"/>
    </row>
    <row r="27" spans="8:22" ht="15.75" customHeight="1" x14ac:dyDescent="0.15">
      <c r="I27" s="1"/>
      <c r="J27" s="1"/>
      <c r="R27" s="1"/>
    </row>
    <row r="28" spans="8:22" ht="15.75" customHeight="1" x14ac:dyDescent="0.15">
      <c r="R28" s="1"/>
    </row>
    <row r="34" spans="18:18" ht="15.75" customHeight="1" x14ac:dyDescent="0.15">
      <c r="R34" s="73"/>
    </row>
    <row r="35" spans="18:18" ht="15.75" customHeight="1" x14ac:dyDescent="0.15">
      <c r="R35" s="73"/>
    </row>
    <row r="36" spans="18:18" ht="15.75" customHeight="1" x14ac:dyDescent="0.15">
      <c r="R36" s="73"/>
    </row>
    <row r="37" spans="18:18" ht="15.75" customHeight="1" x14ac:dyDescent="0.15">
      <c r="R37" s="73"/>
    </row>
    <row r="38" spans="18:18" ht="15.75" customHeight="1" x14ac:dyDescent="0.15">
      <c r="R38" s="73"/>
    </row>
    <row r="39" spans="18:18" ht="15.75" customHeight="1" x14ac:dyDescent="0.15">
      <c r="R39" s="73"/>
    </row>
  </sheetData>
  <mergeCells count="93">
    <mergeCell ref="U9:U10"/>
    <mergeCell ref="V9:V10"/>
    <mergeCell ref="R3:R6"/>
    <mergeCell ref="S3:S4"/>
    <mergeCell ref="T3:T6"/>
    <mergeCell ref="U3:U4"/>
    <mergeCell ref="V3:V4"/>
    <mergeCell ref="S5:S6"/>
    <mergeCell ref="V5:V6"/>
    <mergeCell ref="Q3:Q4"/>
    <mergeCell ref="Q5:Q6"/>
    <mergeCell ref="U5:U6"/>
    <mergeCell ref="U7:U8"/>
    <mergeCell ref="V7:V8"/>
    <mergeCell ref="C1:E1"/>
    <mergeCell ref="F1:F2"/>
    <mergeCell ref="G1:I1"/>
    <mergeCell ref="K1:K2"/>
    <mergeCell ref="A3:A6"/>
    <mergeCell ref="F3:F6"/>
    <mergeCell ref="B5:B6"/>
    <mergeCell ref="K3:K6"/>
    <mergeCell ref="R1:S1"/>
    <mergeCell ref="T1:V1"/>
    <mergeCell ref="J1:J2"/>
    <mergeCell ref="J3:J6"/>
    <mergeCell ref="J7:J10"/>
    <mergeCell ref="K7:K10"/>
    <mergeCell ref="L5:L6"/>
    <mergeCell ref="M5:M6"/>
    <mergeCell ref="L7:L8"/>
    <mergeCell ref="M7:M8"/>
    <mergeCell ref="L9:L10"/>
    <mergeCell ref="M9:M10"/>
    <mergeCell ref="L3:L4"/>
    <mergeCell ref="M3:M4"/>
    <mergeCell ref="N3:N4"/>
    <mergeCell ref="O3:O4"/>
    <mergeCell ref="L1:L2"/>
    <mergeCell ref="M1:M2"/>
    <mergeCell ref="N1:N2"/>
    <mergeCell ref="O1:O2"/>
    <mergeCell ref="P1:Q1"/>
    <mergeCell ref="U13:U14"/>
    <mergeCell ref="V13:V14"/>
    <mergeCell ref="P11:P14"/>
    <mergeCell ref="Q11:Q12"/>
    <mergeCell ref="R11:R14"/>
    <mergeCell ref="T11:T14"/>
    <mergeCell ref="U11:U12"/>
    <mergeCell ref="V11:V12"/>
    <mergeCell ref="Q13:Q14"/>
    <mergeCell ref="A15:I15"/>
    <mergeCell ref="F7:F10"/>
    <mergeCell ref="F11:F14"/>
    <mergeCell ref="J11:J14"/>
    <mergeCell ref="K11:K14"/>
    <mergeCell ref="A11:A14"/>
    <mergeCell ref="B11:B12"/>
    <mergeCell ref="B13:B14"/>
    <mergeCell ref="L13:L14"/>
    <mergeCell ref="M13:M14"/>
    <mergeCell ref="L11:L12"/>
    <mergeCell ref="M11:M12"/>
    <mergeCell ref="B1:B2"/>
    <mergeCell ref="B3:B4"/>
    <mergeCell ref="A7:A10"/>
    <mergeCell ref="B7:B8"/>
    <mergeCell ref="B9:B10"/>
    <mergeCell ref="A1:A2"/>
    <mergeCell ref="R38:R39"/>
    <mergeCell ref="N9:N10"/>
    <mergeCell ref="O9:O10"/>
    <mergeCell ref="N5:N6"/>
    <mergeCell ref="O5:O6"/>
    <mergeCell ref="N7:N8"/>
    <mergeCell ref="O7:O8"/>
    <mergeCell ref="P7:P10"/>
    <mergeCell ref="Q7:Q8"/>
    <mergeCell ref="R7:R10"/>
    <mergeCell ref="Q9:Q10"/>
    <mergeCell ref="N11:N12"/>
    <mergeCell ref="N13:N14"/>
    <mergeCell ref="O11:O12"/>
    <mergeCell ref="O13:O14"/>
    <mergeCell ref="P3:P6"/>
    <mergeCell ref="S7:S8"/>
    <mergeCell ref="T7:T10"/>
    <mergeCell ref="S9:S10"/>
    <mergeCell ref="R34:R35"/>
    <mergeCell ref="R36:R37"/>
    <mergeCell ref="S11:S12"/>
    <mergeCell ref="S13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3"/>
  <sheetViews>
    <sheetView tabSelected="1" workbookViewId="0"/>
  </sheetViews>
  <sheetFormatPr baseColWidth="10" defaultColWidth="12.6640625" defaultRowHeight="15.75" customHeight="1" x14ac:dyDescent="0.15"/>
  <cols>
    <col min="1" max="1" width="20.83203125" customWidth="1"/>
    <col min="9" max="9" width="20.6640625" customWidth="1"/>
    <col min="10" max="10" width="20.5" customWidth="1"/>
  </cols>
  <sheetData>
    <row r="1" spans="1:27" ht="15.75" customHeight="1" x14ac:dyDescent="0.15">
      <c r="A1" s="38" t="s">
        <v>4</v>
      </c>
      <c r="B1" s="38" t="s">
        <v>43</v>
      </c>
      <c r="C1" s="38" t="s">
        <v>44</v>
      </c>
      <c r="D1" s="38" t="s">
        <v>45</v>
      </c>
      <c r="E1" s="38" t="s">
        <v>46</v>
      </c>
      <c r="F1" s="56" t="s">
        <v>1</v>
      </c>
      <c r="G1" s="38" t="s">
        <v>0</v>
      </c>
      <c r="H1" s="57" t="s">
        <v>47</v>
      </c>
      <c r="I1" s="57" t="s">
        <v>48</v>
      </c>
      <c r="J1" s="57" t="s">
        <v>49</v>
      </c>
    </row>
    <row r="2" spans="1:27" ht="15.75" customHeight="1" x14ac:dyDescent="0.15">
      <c r="A2" s="39" t="s">
        <v>50</v>
      </c>
      <c r="B2" s="39" t="s">
        <v>26</v>
      </c>
      <c r="C2" s="39" t="s">
        <v>51</v>
      </c>
      <c r="D2" s="40">
        <v>45659</v>
      </c>
      <c r="E2" s="39" t="s">
        <v>52</v>
      </c>
      <c r="F2" s="58">
        <v>2768</v>
      </c>
      <c r="G2" s="39">
        <v>-4.57</v>
      </c>
      <c r="H2" s="59">
        <v>0.38492980719999997</v>
      </c>
      <c r="I2" s="59">
        <v>-5.4885953299999999</v>
      </c>
      <c r="J2" s="59">
        <v>-3.6432697549999999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15">
      <c r="A3" s="39" t="s">
        <v>50</v>
      </c>
      <c r="B3" s="39" t="s">
        <v>26</v>
      </c>
      <c r="C3" s="39" t="s">
        <v>51</v>
      </c>
      <c r="D3" s="40">
        <v>45721</v>
      </c>
      <c r="E3" s="39" t="s">
        <v>53</v>
      </c>
      <c r="F3" s="58">
        <v>5904</v>
      </c>
      <c r="G3" s="39">
        <v>-4.04</v>
      </c>
      <c r="H3" s="59">
        <v>0.40829741539999997</v>
      </c>
      <c r="I3" s="59">
        <v>-5.0172854940000002</v>
      </c>
      <c r="J3" s="59">
        <v>-3.0599373000000001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15">
      <c r="A4" s="39" t="s">
        <v>50</v>
      </c>
      <c r="B4" s="39" t="s">
        <v>26</v>
      </c>
      <c r="C4" s="39" t="s">
        <v>54</v>
      </c>
      <c r="D4" s="40">
        <v>45974</v>
      </c>
      <c r="E4" s="39" t="s">
        <v>55</v>
      </c>
      <c r="F4" s="58">
        <v>53375</v>
      </c>
      <c r="G4" s="39">
        <v>-3.67</v>
      </c>
      <c r="H4" s="59">
        <v>0.52000866840000004</v>
      </c>
      <c r="I4" s="59">
        <v>-4.5843000969999999</v>
      </c>
      <c r="J4" s="59">
        <v>-2.7632053989999998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15">
      <c r="A5" s="39" t="s">
        <v>50</v>
      </c>
      <c r="B5" s="39" t="s">
        <v>26</v>
      </c>
      <c r="C5" s="39" t="s">
        <v>54</v>
      </c>
      <c r="D5" s="39" t="s">
        <v>56</v>
      </c>
      <c r="E5" s="39" t="s">
        <v>57</v>
      </c>
      <c r="F5" s="58">
        <v>34825</v>
      </c>
      <c r="G5" s="39">
        <v>-4.34</v>
      </c>
      <c r="H5" s="59">
        <v>0.70976604649999997</v>
      </c>
      <c r="I5" s="59">
        <v>-5.5865953230000001</v>
      </c>
      <c r="J5" s="59">
        <v>-3.100961404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15">
      <c r="A6" s="39" t="s">
        <v>50</v>
      </c>
      <c r="B6" s="39" t="s">
        <v>26</v>
      </c>
      <c r="C6" s="39" t="s">
        <v>54</v>
      </c>
      <c r="D6" s="39" t="s">
        <v>58</v>
      </c>
      <c r="E6" s="39" t="s">
        <v>59</v>
      </c>
      <c r="F6" s="58">
        <v>131075</v>
      </c>
      <c r="G6" s="39">
        <v>4.13</v>
      </c>
      <c r="H6" s="59">
        <v>0.44392139139999998</v>
      </c>
      <c r="I6" s="59">
        <v>3.3519398140000001</v>
      </c>
      <c r="J6" s="59">
        <v>4.9065733060000003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15">
      <c r="A7" s="39" t="s">
        <v>50</v>
      </c>
      <c r="B7" s="39" t="s">
        <v>26</v>
      </c>
      <c r="C7" s="39" t="s">
        <v>54</v>
      </c>
      <c r="D7" s="39" t="s">
        <v>60</v>
      </c>
      <c r="E7" s="39" t="s">
        <v>61</v>
      </c>
      <c r="F7" s="58">
        <v>160545</v>
      </c>
      <c r="G7" s="39">
        <v>8.6300000000000008</v>
      </c>
      <c r="H7" s="59">
        <v>0.8069137663</v>
      </c>
      <c r="I7" s="59">
        <v>7.2131352580000003</v>
      </c>
      <c r="J7" s="59">
        <v>10.03898504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15">
      <c r="A8" s="41" t="s">
        <v>50</v>
      </c>
      <c r="B8" s="41" t="s">
        <v>27</v>
      </c>
      <c r="C8" s="41" t="s">
        <v>51</v>
      </c>
      <c r="D8" s="42">
        <v>45846</v>
      </c>
      <c r="E8" s="41" t="s">
        <v>62</v>
      </c>
      <c r="F8" s="60">
        <v>2784</v>
      </c>
      <c r="G8" s="41">
        <v>-2.2000000000000002</v>
      </c>
      <c r="H8" s="61">
        <v>1.0763</v>
      </c>
      <c r="I8" s="61">
        <v>-4.9640000000000004</v>
      </c>
      <c r="J8" s="61">
        <v>0.57099999999999995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41" t="s">
        <v>50</v>
      </c>
      <c r="B9" s="41" t="s">
        <v>27</v>
      </c>
      <c r="C9" s="41" t="s">
        <v>54</v>
      </c>
      <c r="D9" s="42">
        <v>45910</v>
      </c>
      <c r="E9" s="41" t="s">
        <v>63</v>
      </c>
      <c r="F9" s="60">
        <v>1696</v>
      </c>
      <c r="G9" s="41">
        <v>2.2000000000000002</v>
      </c>
      <c r="H9" s="61">
        <v>0.89905377710000001</v>
      </c>
      <c r="I9" s="61">
        <v>-0.1114112396</v>
      </c>
      <c r="J9" s="61">
        <v>4.5124582980000003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41" t="s">
        <v>50</v>
      </c>
      <c r="B10" s="41" t="s">
        <v>27</v>
      </c>
      <c r="C10" s="41" t="s">
        <v>54</v>
      </c>
      <c r="D10" s="42">
        <v>45974</v>
      </c>
      <c r="E10" s="41" t="s">
        <v>2</v>
      </c>
      <c r="F10" s="60">
        <v>2336</v>
      </c>
      <c r="G10" s="41">
        <v>5.86</v>
      </c>
      <c r="H10" s="61">
        <v>1.774933943</v>
      </c>
      <c r="I10" s="61">
        <v>1.2966048459999999</v>
      </c>
      <c r="J10" s="61">
        <v>10.425161109999999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41" t="s">
        <v>50</v>
      </c>
      <c r="B11" s="41" t="s">
        <v>27</v>
      </c>
      <c r="C11" s="41" t="s">
        <v>54</v>
      </c>
      <c r="D11" s="41" t="s">
        <v>56</v>
      </c>
      <c r="E11" s="41" t="s">
        <v>57</v>
      </c>
      <c r="F11" s="60">
        <v>3072</v>
      </c>
      <c r="G11" s="41">
        <v>11.31</v>
      </c>
      <c r="H11" s="61">
        <v>1.9087641200000001</v>
      </c>
      <c r="I11" s="61">
        <v>6.4014176669999996</v>
      </c>
      <c r="J11" s="61">
        <v>16.21826789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43" t="s">
        <v>64</v>
      </c>
      <c r="B12" s="43" t="s">
        <v>26</v>
      </c>
      <c r="C12" s="43" t="s">
        <v>51</v>
      </c>
      <c r="D12" s="44">
        <v>45659</v>
      </c>
      <c r="E12" s="43" t="s">
        <v>52</v>
      </c>
      <c r="F12" s="62">
        <v>81124</v>
      </c>
      <c r="G12" s="63">
        <v>-2.5630000000000002</v>
      </c>
      <c r="H12" s="63">
        <v>0.73</v>
      </c>
      <c r="I12" s="63">
        <v>-4.4000000000000004</v>
      </c>
      <c r="J12" s="63">
        <v>-0.72499999999999998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ht="15.75" customHeight="1" x14ac:dyDescent="0.15">
      <c r="A13" s="43" t="s">
        <v>64</v>
      </c>
      <c r="B13" s="43" t="s">
        <v>26</v>
      </c>
      <c r="C13" s="43" t="s">
        <v>51</v>
      </c>
      <c r="D13" s="44">
        <v>45721</v>
      </c>
      <c r="E13" s="43" t="s">
        <v>53</v>
      </c>
      <c r="F13" s="62">
        <v>302260</v>
      </c>
      <c r="G13" s="63">
        <v>0.186</v>
      </c>
      <c r="H13" s="63">
        <v>0.22600000000000001</v>
      </c>
      <c r="I13" s="63">
        <v>-0.26</v>
      </c>
      <c r="J13" s="63">
        <v>0.63200000000000001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15">
      <c r="A14" s="43" t="s">
        <v>64</v>
      </c>
      <c r="B14" s="43" t="s">
        <v>26</v>
      </c>
      <c r="C14" s="43" t="s">
        <v>51</v>
      </c>
      <c r="D14" s="44">
        <v>45816</v>
      </c>
      <c r="E14" s="43" t="s">
        <v>65</v>
      </c>
      <c r="F14" s="62">
        <v>36516</v>
      </c>
      <c r="G14" s="63">
        <v>-0.97299999999999998</v>
      </c>
      <c r="H14" s="63">
        <v>0.10199999999999999</v>
      </c>
      <c r="I14" s="63">
        <v>-1.2290000000000001</v>
      </c>
      <c r="J14" s="63">
        <v>-0.71599999999999997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15">
      <c r="A15" s="43" t="s">
        <v>64</v>
      </c>
      <c r="B15" s="43" t="s">
        <v>26</v>
      </c>
      <c r="C15" s="43" t="s">
        <v>54</v>
      </c>
      <c r="D15" s="44">
        <v>45911</v>
      </c>
      <c r="E15" s="43" t="s">
        <v>66</v>
      </c>
      <c r="F15" s="62">
        <v>104380</v>
      </c>
      <c r="G15" s="63">
        <v>3.4489999999999998</v>
      </c>
      <c r="H15" s="63">
        <v>0.48199999999999998</v>
      </c>
      <c r="I15" s="63">
        <v>2.2349999999999999</v>
      </c>
      <c r="J15" s="63">
        <v>4.6630000000000003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15">
      <c r="A16" s="43" t="s">
        <v>64</v>
      </c>
      <c r="B16" s="43" t="s">
        <v>26</v>
      </c>
      <c r="C16" s="43" t="s">
        <v>54</v>
      </c>
      <c r="D16" s="43" t="s">
        <v>58</v>
      </c>
      <c r="E16" s="43" t="s">
        <v>59</v>
      </c>
      <c r="F16" s="62">
        <v>828750</v>
      </c>
      <c r="G16" s="63">
        <v>4.766</v>
      </c>
      <c r="H16" s="63">
        <v>0.751</v>
      </c>
      <c r="I16" s="63">
        <v>3.278</v>
      </c>
      <c r="J16" s="63">
        <v>6.2539999999999996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15">
      <c r="A17" s="46" t="s">
        <v>64</v>
      </c>
      <c r="B17" s="46" t="s">
        <v>27</v>
      </c>
      <c r="C17" s="46" t="s">
        <v>51</v>
      </c>
      <c r="D17" s="47">
        <v>45691</v>
      </c>
      <c r="E17" s="46" t="s">
        <v>67</v>
      </c>
      <c r="F17" s="64">
        <v>19575</v>
      </c>
      <c r="G17" s="65">
        <v>-1.2383999999999999</v>
      </c>
      <c r="H17" s="65">
        <v>0.39400000000000002</v>
      </c>
      <c r="I17" s="65">
        <v>-2.1059999999999999</v>
      </c>
      <c r="J17" s="65">
        <v>-0.372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spans="1:27" ht="15.75" customHeight="1" x14ac:dyDescent="0.15">
      <c r="A18" s="46" t="s">
        <v>64</v>
      </c>
      <c r="B18" s="46" t="s">
        <v>27</v>
      </c>
      <c r="C18" s="46" t="s">
        <v>51</v>
      </c>
      <c r="D18" s="47">
        <v>45753</v>
      </c>
      <c r="E18" s="46" t="s">
        <v>68</v>
      </c>
      <c r="F18" s="64">
        <v>21668</v>
      </c>
      <c r="G18" s="65">
        <v>0.78949999999999998</v>
      </c>
      <c r="H18" s="65">
        <v>0.26900000000000002</v>
      </c>
      <c r="I18" s="65">
        <v>0.1910924403</v>
      </c>
      <c r="J18" s="65">
        <v>1.3879075599999999</v>
      </c>
      <c r="K18" s="46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15.75" customHeight="1" x14ac:dyDescent="0.15">
      <c r="A19" s="46" t="s">
        <v>64</v>
      </c>
      <c r="B19" s="46" t="s">
        <v>27</v>
      </c>
      <c r="C19" s="46" t="s">
        <v>54</v>
      </c>
      <c r="D19" s="47">
        <v>45911</v>
      </c>
      <c r="E19" s="46" t="s">
        <v>66</v>
      </c>
      <c r="F19" s="64">
        <v>11060</v>
      </c>
      <c r="G19" s="65">
        <v>0.98799999999999999</v>
      </c>
      <c r="H19" s="65">
        <v>0.06</v>
      </c>
      <c r="I19" s="65">
        <v>0.84499999999999997</v>
      </c>
      <c r="J19" s="65">
        <v>1.1319999999999999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spans="1:27" ht="15.75" customHeight="1" x14ac:dyDescent="0.15">
      <c r="A20" s="46" t="s">
        <v>64</v>
      </c>
      <c r="B20" s="46" t="s">
        <v>27</v>
      </c>
      <c r="C20" s="46" t="s">
        <v>54</v>
      </c>
      <c r="D20" s="46" t="s">
        <v>69</v>
      </c>
      <c r="E20" s="46" t="s">
        <v>70</v>
      </c>
      <c r="F20" s="64">
        <v>10676</v>
      </c>
      <c r="G20" s="46">
        <v>1.72</v>
      </c>
      <c r="H20" s="65">
        <v>2.3E-2</v>
      </c>
      <c r="I20" s="65">
        <v>1.6679999999999999</v>
      </c>
      <c r="J20" s="65">
        <v>1.78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spans="1:27" ht="15.75" customHeight="1" x14ac:dyDescent="0.15">
      <c r="A21" s="46" t="s">
        <v>64</v>
      </c>
      <c r="B21" s="46" t="s">
        <v>27</v>
      </c>
      <c r="C21" s="46" t="s">
        <v>54</v>
      </c>
      <c r="D21" s="46" t="s">
        <v>71</v>
      </c>
      <c r="E21" s="46" t="s">
        <v>72</v>
      </c>
      <c r="F21" s="64">
        <v>10302</v>
      </c>
      <c r="G21" s="65">
        <v>2.581</v>
      </c>
      <c r="H21" s="65">
        <v>7.0999999999999994E-2</v>
      </c>
      <c r="I21" s="65">
        <v>2.4119999999999999</v>
      </c>
      <c r="J21" s="65">
        <v>2.7509999999999999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27" ht="15.75" customHeight="1" x14ac:dyDescent="0.15">
      <c r="A22" s="49" t="s">
        <v>73</v>
      </c>
      <c r="B22" s="49" t="s">
        <v>26</v>
      </c>
      <c r="C22" s="49" t="s">
        <v>51</v>
      </c>
      <c r="D22" s="50">
        <v>45659</v>
      </c>
      <c r="E22" s="49" t="s">
        <v>52</v>
      </c>
      <c r="F22" s="66">
        <v>712096</v>
      </c>
      <c r="G22" s="49">
        <v>-0.93</v>
      </c>
      <c r="H22" s="67">
        <v>0.2</v>
      </c>
      <c r="I22" s="67">
        <v>-1.41</v>
      </c>
      <c r="J22" s="67">
        <v>-0.45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27" ht="15.75" customHeight="1" x14ac:dyDescent="0.15">
      <c r="A23" s="49" t="s">
        <v>73</v>
      </c>
      <c r="B23" s="49" t="s">
        <v>26</v>
      </c>
      <c r="C23" s="49" t="s">
        <v>51</v>
      </c>
      <c r="D23" s="50">
        <v>45753</v>
      </c>
      <c r="E23" s="49" t="s">
        <v>53</v>
      </c>
      <c r="F23" s="66">
        <v>62336</v>
      </c>
      <c r="G23" s="67">
        <v>2.8693</v>
      </c>
      <c r="H23" s="67">
        <v>0.43</v>
      </c>
      <c r="I23" s="67">
        <v>1.84</v>
      </c>
      <c r="J23" s="67">
        <v>3.89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ht="15.75" customHeight="1" x14ac:dyDescent="0.15">
      <c r="A24" s="49" t="s">
        <v>73</v>
      </c>
      <c r="B24" s="49" t="s">
        <v>26</v>
      </c>
      <c r="C24" s="49" t="s">
        <v>54</v>
      </c>
      <c r="D24" s="49" t="s">
        <v>74</v>
      </c>
      <c r="E24" s="49" t="s">
        <v>75</v>
      </c>
      <c r="F24" s="66">
        <v>208460</v>
      </c>
      <c r="G24" s="49">
        <v>4.1900000000000004</v>
      </c>
      <c r="H24" s="67">
        <v>0.86</v>
      </c>
      <c r="I24" s="67">
        <v>2.5114800000000002</v>
      </c>
      <c r="J24" s="67">
        <v>5.8646799999999999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ht="15.75" customHeight="1" x14ac:dyDescent="0.15">
      <c r="A25" s="52" t="s">
        <v>73</v>
      </c>
      <c r="B25" s="52" t="s">
        <v>27</v>
      </c>
      <c r="C25" s="52" t="s">
        <v>51</v>
      </c>
      <c r="D25" s="53">
        <v>45659</v>
      </c>
      <c r="E25" s="52" t="s">
        <v>52</v>
      </c>
      <c r="F25" s="68">
        <v>1516655</v>
      </c>
      <c r="G25" s="69">
        <v>0.83819999999999995</v>
      </c>
      <c r="H25" s="69">
        <v>7.7609999999999998E-2</v>
      </c>
      <c r="I25" s="69">
        <v>0.65304902409999999</v>
      </c>
      <c r="J25" s="69">
        <v>1.0234121709999999</v>
      </c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27" ht="15.75" customHeight="1" x14ac:dyDescent="0.15">
      <c r="A26" s="52" t="s">
        <v>73</v>
      </c>
      <c r="B26" s="52" t="s">
        <v>27</v>
      </c>
      <c r="C26" s="52" t="s">
        <v>54</v>
      </c>
      <c r="D26" s="52" t="s">
        <v>74</v>
      </c>
      <c r="E26" s="52" t="s">
        <v>75</v>
      </c>
      <c r="F26" s="68">
        <v>263650</v>
      </c>
      <c r="G26" s="69">
        <v>3.8262</v>
      </c>
      <c r="H26" s="69">
        <v>1.51681</v>
      </c>
      <c r="I26" s="69">
        <v>0.83679669999999984</v>
      </c>
      <c r="J26" s="69">
        <v>6.8156033000000003</v>
      </c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27" ht="15.75" customHeight="1" x14ac:dyDescent="0.15">
      <c r="F27" s="70"/>
      <c r="H27" s="71"/>
      <c r="I27" s="71"/>
      <c r="J27" s="71"/>
    </row>
    <row r="28" spans="1:27" ht="15.75" customHeight="1" x14ac:dyDescent="0.15">
      <c r="F28" s="70"/>
      <c r="H28" s="71"/>
      <c r="I28" s="71"/>
      <c r="J28" s="71"/>
    </row>
    <row r="29" spans="1:27" ht="15.75" customHeight="1" x14ac:dyDescent="0.15">
      <c r="F29" s="70"/>
      <c r="H29" s="71"/>
      <c r="I29" s="71"/>
      <c r="J29" s="71"/>
    </row>
    <row r="30" spans="1:27" ht="15.75" customHeight="1" x14ac:dyDescent="0.15">
      <c r="F30" s="70"/>
      <c r="G30" s="55"/>
      <c r="H30" s="72"/>
      <c r="I30" s="72"/>
      <c r="J30" s="72"/>
      <c r="K30" s="55"/>
      <c r="L30" s="55"/>
    </row>
    <row r="31" spans="1:27" ht="15.75" customHeight="1" x14ac:dyDescent="0.15">
      <c r="F31" s="70"/>
      <c r="G31" s="55"/>
      <c r="H31" s="71"/>
      <c r="I31" s="71"/>
      <c r="J31" s="71"/>
    </row>
    <row r="32" spans="1:27" ht="15.75" customHeight="1" x14ac:dyDescent="0.15">
      <c r="F32" s="70"/>
      <c r="G32" s="55"/>
      <c r="H32" s="71"/>
      <c r="I32" s="71"/>
      <c r="J32" s="71"/>
    </row>
    <row r="33" spans="6:10" ht="15.75" customHeight="1" x14ac:dyDescent="0.15">
      <c r="F33" s="70"/>
      <c r="G33" s="55"/>
      <c r="H33" s="71"/>
      <c r="I33" s="71"/>
      <c r="J33" s="71"/>
    </row>
    <row r="34" spans="6:10" ht="15.75" customHeight="1" x14ac:dyDescent="0.15">
      <c r="F34" s="70"/>
      <c r="G34" s="55"/>
      <c r="H34" s="71"/>
      <c r="I34" s="71"/>
      <c r="J34" s="71"/>
    </row>
    <row r="35" spans="6:10" ht="15.75" customHeight="1" x14ac:dyDescent="0.15">
      <c r="F35" s="70"/>
      <c r="H35" s="71"/>
      <c r="I35" s="71"/>
      <c r="J35" s="71"/>
    </row>
    <row r="36" spans="6:10" ht="15.75" customHeight="1" x14ac:dyDescent="0.15">
      <c r="F36" s="70"/>
      <c r="H36" s="71"/>
      <c r="I36" s="71"/>
      <c r="J36" s="71"/>
    </row>
    <row r="37" spans="6:10" ht="15.75" customHeight="1" x14ac:dyDescent="0.15">
      <c r="F37" s="70"/>
      <c r="H37" s="71"/>
      <c r="I37" s="71"/>
      <c r="J37" s="71"/>
    </row>
    <row r="38" spans="6:10" ht="15.75" customHeight="1" x14ac:dyDescent="0.15">
      <c r="F38" s="70"/>
      <c r="H38" s="71"/>
      <c r="I38" s="71"/>
      <c r="J38" s="71"/>
    </row>
    <row r="39" spans="6:10" ht="15.75" customHeight="1" x14ac:dyDescent="0.15">
      <c r="F39" s="70"/>
      <c r="H39" s="71"/>
      <c r="I39" s="71"/>
      <c r="J39" s="71"/>
    </row>
    <row r="40" spans="6:10" ht="15.75" customHeight="1" x14ac:dyDescent="0.15">
      <c r="F40" s="70"/>
      <c r="H40" s="71"/>
      <c r="I40" s="71"/>
      <c r="J40" s="71"/>
    </row>
    <row r="41" spans="6:10" ht="15.75" customHeight="1" x14ac:dyDescent="0.15">
      <c r="F41" s="70"/>
      <c r="H41" s="71"/>
      <c r="I41" s="71"/>
      <c r="J41" s="71"/>
    </row>
    <row r="42" spans="6:10" ht="15.75" customHeight="1" x14ac:dyDescent="0.15">
      <c r="F42" s="70"/>
      <c r="H42" s="71"/>
      <c r="I42" s="71"/>
      <c r="J42" s="71"/>
    </row>
    <row r="43" spans="6:10" ht="15.75" customHeight="1" x14ac:dyDescent="0.15">
      <c r="F43" s="70"/>
      <c r="H43" s="71"/>
      <c r="I43" s="71"/>
      <c r="J43" s="71"/>
    </row>
    <row r="44" spans="6:10" ht="15.75" customHeight="1" x14ac:dyDescent="0.15">
      <c r="F44" s="70"/>
      <c r="H44" s="71"/>
      <c r="I44" s="71"/>
      <c r="J44" s="71"/>
    </row>
    <row r="45" spans="6:10" ht="15.75" customHeight="1" x14ac:dyDescent="0.15">
      <c r="F45" s="70"/>
      <c r="H45" s="71"/>
      <c r="I45" s="71"/>
      <c r="J45" s="71"/>
    </row>
    <row r="46" spans="6:10" ht="15.75" customHeight="1" x14ac:dyDescent="0.15">
      <c r="F46" s="70"/>
      <c r="H46" s="71"/>
      <c r="I46" s="71"/>
      <c r="J46" s="71"/>
    </row>
    <row r="47" spans="6:10" ht="15.75" customHeight="1" x14ac:dyDescent="0.15">
      <c r="F47" s="70"/>
      <c r="H47" s="71"/>
      <c r="I47" s="71"/>
      <c r="J47" s="71"/>
    </row>
    <row r="48" spans="6:10" ht="15.75" customHeight="1" x14ac:dyDescent="0.15">
      <c r="F48" s="70"/>
      <c r="H48" s="71"/>
      <c r="I48" s="71"/>
      <c r="J48" s="71"/>
    </row>
    <row r="49" spans="6:10" ht="15.75" customHeight="1" x14ac:dyDescent="0.15">
      <c r="F49" s="70"/>
      <c r="H49" s="71"/>
      <c r="I49" s="71"/>
      <c r="J49" s="71"/>
    </row>
    <row r="50" spans="6:10" ht="15.75" customHeight="1" x14ac:dyDescent="0.15">
      <c r="F50" s="70"/>
      <c r="H50" s="71"/>
      <c r="I50" s="71"/>
      <c r="J50" s="71"/>
    </row>
    <row r="51" spans="6:10" ht="13" x14ac:dyDescent="0.15">
      <c r="F51" s="70"/>
      <c r="H51" s="71"/>
      <c r="I51" s="71"/>
      <c r="J51" s="71"/>
    </row>
    <row r="52" spans="6:10" ht="13" x14ac:dyDescent="0.15">
      <c r="F52" s="70"/>
      <c r="H52" s="71"/>
      <c r="I52" s="71"/>
      <c r="J52" s="71"/>
    </row>
    <row r="53" spans="6:10" ht="13" x14ac:dyDescent="0.15">
      <c r="F53" s="70"/>
      <c r="H53" s="71"/>
      <c r="I53" s="71"/>
      <c r="J53" s="71"/>
    </row>
    <row r="54" spans="6:10" ht="13" x14ac:dyDescent="0.15">
      <c r="F54" s="70"/>
      <c r="H54" s="71"/>
      <c r="I54" s="71"/>
      <c r="J54" s="71"/>
    </row>
    <row r="55" spans="6:10" ht="13" x14ac:dyDescent="0.15">
      <c r="F55" s="70"/>
      <c r="H55" s="71"/>
      <c r="I55" s="71"/>
      <c r="J55" s="71"/>
    </row>
    <row r="56" spans="6:10" ht="13" x14ac:dyDescent="0.15">
      <c r="F56" s="70"/>
      <c r="H56" s="71"/>
      <c r="I56" s="71"/>
      <c r="J56" s="71"/>
    </row>
    <row r="57" spans="6:10" ht="13" x14ac:dyDescent="0.15">
      <c r="F57" s="70"/>
      <c r="H57" s="71"/>
      <c r="I57" s="71"/>
      <c r="J57" s="71"/>
    </row>
    <row r="58" spans="6:10" ht="13" x14ac:dyDescent="0.15">
      <c r="F58" s="70"/>
      <c r="H58" s="71"/>
      <c r="I58" s="71"/>
      <c r="J58" s="71"/>
    </row>
    <row r="59" spans="6:10" ht="13" x14ac:dyDescent="0.15">
      <c r="F59" s="70"/>
      <c r="H59" s="71"/>
      <c r="I59" s="71"/>
      <c r="J59" s="71"/>
    </row>
    <row r="60" spans="6:10" ht="13" x14ac:dyDescent="0.15">
      <c r="F60" s="70"/>
      <c r="H60" s="71"/>
      <c r="I60" s="71"/>
      <c r="J60" s="71"/>
    </row>
    <row r="61" spans="6:10" ht="13" x14ac:dyDescent="0.15">
      <c r="F61" s="70"/>
      <c r="H61" s="71"/>
      <c r="I61" s="71"/>
      <c r="J61" s="71"/>
    </row>
    <row r="62" spans="6:10" ht="13" x14ac:dyDescent="0.15">
      <c r="F62" s="70"/>
      <c r="H62" s="71"/>
      <c r="I62" s="71"/>
      <c r="J62" s="71"/>
    </row>
    <row r="63" spans="6:10" ht="13" x14ac:dyDescent="0.15">
      <c r="F63" s="70"/>
      <c r="H63" s="71"/>
      <c r="I63" s="71"/>
      <c r="J63" s="71"/>
    </row>
    <row r="64" spans="6:10" ht="13" x14ac:dyDescent="0.15">
      <c r="F64" s="70"/>
      <c r="H64" s="71"/>
      <c r="I64" s="71"/>
      <c r="J64" s="71"/>
    </row>
    <row r="65" spans="6:10" ht="13" x14ac:dyDescent="0.15">
      <c r="F65" s="70"/>
      <c r="H65" s="71"/>
      <c r="I65" s="71"/>
      <c r="J65" s="71"/>
    </row>
    <row r="66" spans="6:10" ht="13" x14ac:dyDescent="0.15">
      <c r="F66" s="70"/>
      <c r="H66" s="71"/>
      <c r="I66" s="71"/>
      <c r="J66" s="71"/>
    </row>
    <row r="67" spans="6:10" ht="13" x14ac:dyDescent="0.15">
      <c r="F67" s="70"/>
      <c r="H67" s="71"/>
      <c r="I67" s="71"/>
      <c r="J67" s="71"/>
    </row>
    <row r="68" spans="6:10" ht="13" x14ac:dyDescent="0.15">
      <c r="F68" s="70"/>
      <c r="H68" s="71"/>
      <c r="I68" s="71"/>
      <c r="J68" s="71"/>
    </row>
    <row r="69" spans="6:10" ht="13" x14ac:dyDescent="0.15">
      <c r="F69" s="70"/>
      <c r="H69" s="71"/>
      <c r="I69" s="71"/>
      <c r="J69" s="71"/>
    </row>
    <row r="70" spans="6:10" ht="13" x14ac:dyDescent="0.15">
      <c r="F70" s="70"/>
      <c r="H70" s="71"/>
      <c r="I70" s="71"/>
      <c r="J70" s="71"/>
    </row>
    <row r="71" spans="6:10" ht="13" x14ac:dyDescent="0.15">
      <c r="F71" s="70"/>
      <c r="H71" s="71"/>
      <c r="I71" s="71"/>
      <c r="J71" s="71"/>
    </row>
    <row r="72" spans="6:10" ht="13" x14ac:dyDescent="0.15">
      <c r="F72" s="70"/>
      <c r="H72" s="71"/>
      <c r="I72" s="71"/>
      <c r="J72" s="71"/>
    </row>
    <row r="73" spans="6:10" ht="13" x14ac:dyDescent="0.15">
      <c r="F73" s="70"/>
      <c r="H73" s="71"/>
      <c r="I73" s="71"/>
      <c r="J73" s="71"/>
    </row>
    <row r="74" spans="6:10" ht="13" x14ac:dyDescent="0.15">
      <c r="F74" s="70"/>
      <c r="H74" s="71"/>
      <c r="I74" s="71"/>
      <c r="J74" s="71"/>
    </row>
    <row r="75" spans="6:10" ht="13" x14ac:dyDescent="0.15">
      <c r="F75" s="70"/>
      <c r="H75" s="71"/>
      <c r="I75" s="71"/>
      <c r="J75" s="71"/>
    </row>
    <row r="76" spans="6:10" ht="13" x14ac:dyDescent="0.15">
      <c r="F76" s="70"/>
      <c r="H76" s="71"/>
      <c r="I76" s="71"/>
      <c r="J76" s="71"/>
    </row>
    <row r="77" spans="6:10" ht="13" x14ac:dyDescent="0.15">
      <c r="F77" s="70"/>
      <c r="H77" s="71"/>
      <c r="I77" s="71"/>
      <c r="J77" s="71"/>
    </row>
    <row r="78" spans="6:10" ht="13" x14ac:dyDescent="0.15">
      <c r="F78" s="70"/>
      <c r="H78" s="71"/>
      <c r="I78" s="71"/>
      <c r="J78" s="71"/>
    </row>
    <row r="79" spans="6:10" ht="13" x14ac:dyDescent="0.15">
      <c r="F79" s="70"/>
      <c r="H79" s="71"/>
      <c r="I79" s="71"/>
      <c r="J79" s="71"/>
    </row>
    <row r="80" spans="6:10" ht="13" x14ac:dyDescent="0.15">
      <c r="F80" s="70"/>
      <c r="H80" s="71"/>
      <c r="I80" s="71"/>
      <c r="J80" s="71"/>
    </row>
    <row r="81" spans="6:10" ht="13" x14ac:dyDescent="0.15">
      <c r="F81" s="70"/>
      <c r="H81" s="71"/>
      <c r="I81" s="71"/>
      <c r="J81" s="71"/>
    </row>
    <row r="82" spans="6:10" ht="13" x14ac:dyDescent="0.15">
      <c r="F82" s="70"/>
      <c r="H82" s="71"/>
      <c r="I82" s="71"/>
      <c r="J82" s="71"/>
    </row>
    <row r="83" spans="6:10" ht="13" x14ac:dyDescent="0.15">
      <c r="F83" s="70"/>
      <c r="H83" s="71"/>
      <c r="I83" s="71"/>
      <c r="J83" s="71"/>
    </row>
    <row r="84" spans="6:10" ht="13" x14ac:dyDescent="0.15">
      <c r="F84" s="70"/>
      <c r="H84" s="71"/>
      <c r="I84" s="71"/>
      <c r="J84" s="71"/>
    </row>
    <row r="85" spans="6:10" ht="13" x14ac:dyDescent="0.15">
      <c r="F85" s="70"/>
      <c r="H85" s="71"/>
      <c r="I85" s="71"/>
      <c r="J85" s="71"/>
    </row>
    <row r="86" spans="6:10" ht="13" x14ac:dyDescent="0.15">
      <c r="F86" s="70"/>
      <c r="H86" s="71"/>
      <c r="I86" s="71"/>
      <c r="J86" s="71"/>
    </row>
    <row r="87" spans="6:10" ht="13" x14ac:dyDescent="0.15">
      <c r="F87" s="70"/>
      <c r="H87" s="71"/>
      <c r="I87" s="71"/>
      <c r="J87" s="71"/>
    </row>
    <row r="88" spans="6:10" ht="13" x14ac:dyDescent="0.15">
      <c r="F88" s="70"/>
      <c r="H88" s="71"/>
      <c r="I88" s="71"/>
      <c r="J88" s="71"/>
    </row>
    <row r="89" spans="6:10" ht="13" x14ac:dyDescent="0.15">
      <c r="F89" s="70"/>
      <c r="H89" s="71"/>
      <c r="I89" s="71"/>
      <c r="J89" s="71"/>
    </row>
    <row r="90" spans="6:10" ht="13" x14ac:dyDescent="0.15">
      <c r="F90" s="70"/>
      <c r="H90" s="71"/>
      <c r="I90" s="71"/>
      <c r="J90" s="71"/>
    </row>
    <row r="91" spans="6:10" ht="13" x14ac:dyDescent="0.15">
      <c r="F91" s="70"/>
      <c r="H91" s="71"/>
      <c r="I91" s="71"/>
      <c r="J91" s="71"/>
    </row>
    <row r="92" spans="6:10" ht="13" x14ac:dyDescent="0.15">
      <c r="F92" s="70"/>
      <c r="H92" s="71"/>
      <c r="I92" s="71"/>
      <c r="J92" s="71"/>
    </row>
    <row r="93" spans="6:10" ht="13" x14ac:dyDescent="0.15">
      <c r="F93" s="70"/>
      <c r="H93" s="71"/>
      <c r="I93" s="71"/>
      <c r="J93" s="71"/>
    </row>
    <row r="94" spans="6:10" ht="13" x14ac:dyDescent="0.15">
      <c r="F94" s="70"/>
      <c r="H94" s="71"/>
      <c r="I94" s="71"/>
      <c r="J94" s="71"/>
    </row>
    <row r="95" spans="6:10" ht="13" x14ac:dyDescent="0.15">
      <c r="F95" s="70"/>
      <c r="H95" s="71"/>
      <c r="I95" s="71"/>
      <c r="J95" s="71"/>
    </row>
    <row r="96" spans="6:10" ht="13" x14ac:dyDescent="0.15">
      <c r="F96" s="70"/>
      <c r="H96" s="71"/>
      <c r="I96" s="71"/>
      <c r="J96" s="71"/>
    </row>
    <row r="97" spans="6:10" ht="13" x14ac:dyDescent="0.15">
      <c r="F97" s="70"/>
      <c r="H97" s="71"/>
      <c r="I97" s="71"/>
      <c r="J97" s="71"/>
    </row>
    <row r="98" spans="6:10" ht="13" x14ac:dyDescent="0.15">
      <c r="F98" s="70"/>
      <c r="H98" s="71"/>
      <c r="I98" s="71"/>
      <c r="J98" s="71"/>
    </row>
    <row r="99" spans="6:10" ht="13" x14ac:dyDescent="0.15">
      <c r="F99" s="70"/>
      <c r="H99" s="71"/>
      <c r="I99" s="71"/>
      <c r="J99" s="71"/>
    </row>
    <row r="100" spans="6:10" ht="13" x14ac:dyDescent="0.15">
      <c r="F100" s="70"/>
      <c r="H100" s="71"/>
      <c r="I100" s="71"/>
      <c r="J100" s="71"/>
    </row>
    <row r="101" spans="6:10" ht="13" x14ac:dyDescent="0.15">
      <c r="F101" s="70"/>
      <c r="H101" s="71"/>
      <c r="I101" s="71"/>
      <c r="J101" s="71"/>
    </row>
    <row r="102" spans="6:10" ht="13" x14ac:dyDescent="0.15">
      <c r="F102" s="70"/>
      <c r="H102" s="71"/>
      <c r="I102" s="71"/>
      <c r="J102" s="71"/>
    </row>
    <row r="103" spans="6:10" ht="13" x14ac:dyDescent="0.15">
      <c r="F103" s="70"/>
      <c r="H103" s="71"/>
      <c r="I103" s="71"/>
      <c r="J103" s="71"/>
    </row>
    <row r="104" spans="6:10" ht="13" x14ac:dyDescent="0.15">
      <c r="F104" s="70"/>
      <c r="H104" s="71"/>
      <c r="I104" s="71"/>
      <c r="J104" s="71"/>
    </row>
    <row r="105" spans="6:10" ht="13" x14ac:dyDescent="0.15">
      <c r="F105" s="70"/>
      <c r="H105" s="71"/>
      <c r="I105" s="71"/>
      <c r="J105" s="71"/>
    </row>
    <row r="106" spans="6:10" ht="13" x14ac:dyDescent="0.15">
      <c r="F106" s="70"/>
      <c r="H106" s="71"/>
      <c r="I106" s="71"/>
      <c r="J106" s="71"/>
    </row>
    <row r="107" spans="6:10" ht="13" x14ac:dyDescent="0.15">
      <c r="F107" s="70"/>
      <c r="H107" s="71"/>
      <c r="I107" s="71"/>
      <c r="J107" s="71"/>
    </row>
    <row r="108" spans="6:10" ht="13" x14ac:dyDescent="0.15">
      <c r="F108" s="70"/>
      <c r="H108" s="71"/>
      <c r="I108" s="71"/>
      <c r="J108" s="71"/>
    </row>
    <row r="109" spans="6:10" ht="13" x14ac:dyDescent="0.15">
      <c r="F109" s="70"/>
      <c r="H109" s="71"/>
      <c r="I109" s="71"/>
      <c r="J109" s="71"/>
    </row>
    <row r="110" spans="6:10" ht="13" x14ac:dyDescent="0.15">
      <c r="F110" s="70"/>
      <c r="H110" s="71"/>
      <c r="I110" s="71"/>
      <c r="J110" s="71"/>
    </row>
    <row r="111" spans="6:10" ht="13" x14ac:dyDescent="0.15">
      <c r="F111" s="70"/>
      <c r="H111" s="71"/>
      <c r="I111" s="71"/>
      <c r="J111" s="71"/>
    </row>
    <row r="112" spans="6:10" ht="13" x14ac:dyDescent="0.15">
      <c r="F112" s="70"/>
      <c r="H112" s="71"/>
      <c r="I112" s="71"/>
      <c r="J112" s="71"/>
    </row>
    <row r="113" spans="6:10" ht="13" x14ac:dyDescent="0.15">
      <c r="F113" s="70"/>
      <c r="H113" s="71"/>
      <c r="I113" s="71"/>
      <c r="J113" s="71"/>
    </row>
    <row r="114" spans="6:10" ht="13" x14ac:dyDescent="0.15">
      <c r="F114" s="70"/>
      <c r="H114" s="71"/>
      <c r="I114" s="71"/>
      <c r="J114" s="71"/>
    </row>
    <row r="115" spans="6:10" ht="13" x14ac:dyDescent="0.15">
      <c r="F115" s="70"/>
      <c r="H115" s="71"/>
      <c r="I115" s="71"/>
      <c r="J115" s="71"/>
    </row>
    <row r="116" spans="6:10" ht="13" x14ac:dyDescent="0.15">
      <c r="F116" s="70"/>
      <c r="H116" s="71"/>
      <c r="I116" s="71"/>
      <c r="J116" s="71"/>
    </row>
    <row r="117" spans="6:10" ht="13" x14ac:dyDescent="0.15">
      <c r="F117" s="70"/>
      <c r="H117" s="71"/>
      <c r="I117" s="71"/>
      <c r="J117" s="71"/>
    </row>
    <row r="118" spans="6:10" ht="13" x14ac:dyDescent="0.15">
      <c r="F118" s="70"/>
      <c r="H118" s="71"/>
      <c r="I118" s="71"/>
      <c r="J118" s="71"/>
    </row>
    <row r="119" spans="6:10" ht="13" x14ac:dyDescent="0.15">
      <c r="F119" s="70"/>
      <c r="H119" s="71"/>
      <c r="I119" s="71"/>
      <c r="J119" s="71"/>
    </row>
    <row r="120" spans="6:10" ht="13" x14ac:dyDescent="0.15">
      <c r="F120" s="70"/>
      <c r="H120" s="71"/>
      <c r="I120" s="71"/>
      <c r="J120" s="71"/>
    </row>
    <row r="121" spans="6:10" ht="13" x14ac:dyDescent="0.15">
      <c r="F121" s="70"/>
      <c r="H121" s="71"/>
      <c r="I121" s="71"/>
      <c r="J121" s="71"/>
    </row>
    <row r="122" spans="6:10" ht="13" x14ac:dyDescent="0.15">
      <c r="F122" s="70"/>
      <c r="H122" s="71"/>
      <c r="I122" s="71"/>
      <c r="J122" s="71"/>
    </row>
    <row r="123" spans="6:10" ht="13" x14ac:dyDescent="0.15">
      <c r="F123" s="70"/>
      <c r="H123" s="71"/>
      <c r="I123" s="71"/>
      <c r="J123" s="71"/>
    </row>
    <row r="124" spans="6:10" ht="13" x14ac:dyDescent="0.15">
      <c r="F124" s="70"/>
      <c r="H124" s="71"/>
      <c r="I124" s="71"/>
      <c r="J124" s="71"/>
    </row>
    <row r="125" spans="6:10" ht="13" x14ac:dyDescent="0.15">
      <c r="F125" s="70"/>
      <c r="H125" s="71"/>
      <c r="I125" s="71"/>
      <c r="J125" s="71"/>
    </row>
    <row r="126" spans="6:10" ht="13" x14ac:dyDescent="0.15">
      <c r="F126" s="70"/>
      <c r="H126" s="71"/>
      <c r="I126" s="71"/>
      <c r="J126" s="71"/>
    </row>
    <row r="127" spans="6:10" ht="13" x14ac:dyDescent="0.15">
      <c r="F127" s="70"/>
      <c r="H127" s="71"/>
      <c r="I127" s="71"/>
      <c r="J127" s="71"/>
    </row>
    <row r="128" spans="6:10" ht="13" x14ac:dyDescent="0.15">
      <c r="F128" s="70"/>
      <c r="H128" s="71"/>
      <c r="I128" s="71"/>
      <c r="J128" s="71"/>
    </row>
    <row r="129" spans="6:10" ht="13" x14ac:dyDescent="0.15">
      <c r="F129" s="70"/>
      <c r="H129" s="71"/>
      <c r="I129" s="71"/>
      <c r="J129" s="71"/>
    </row>
    <row r="130" spans="6:10" ht="13" x14ac:dyDescent="0.15">
      <c r="F130" s="70"/>
      <c r="H130" s="71"/>
      <c r="I130" s="71"/>
      <c r="J130" s="71"/>
    </row>
    <row r="131" spans="6:10" ht="13" x14ac:dyDescent="0.15">
      <c r="F131" s="70"/>
      <c r="H131" s="71"/>
      <c r="I131" s="71"/>
      <c r="J131" s="71"/>
    </row>
    <row r="132" spans="6:10" ht="13" x14ac:dyDescent="0.15">
      <c r="F132" s="70"/>
      <c r="H132" s="71"/>
      <c r="I132" s="71"/>
      <c r="J132" s="71"/>
    </row>
    <row r="133" spans="6:10" ht="13" x14ac:dyDescent="0.15">
      <c r="F133" s="70"/>
      <c r="H133" s="71"/>
      <c r="I133" s="71"/>
      <c r="J133" s="71"/>
    </row>
    <row r="134" spans="6:10" ht="13" x14ac:dyDescent="0.15">
      <c r="F134" s="70"/>
      <c r="H134" s="71"/>
      <c r="I134" s="71"/>
      <c r="J134" s="71"/>
    </row>
    <row r="135" spans="6:10" ht="13" x14ac:dyDescent="0.15">
      <c r="F135" s="70"/>
      <c r="H135" s="71"/>
      <c r="I135" s="71"/>
      <c r="J135" s="71"/>
    </row>
    <row r="136" spans="6:10" ht="13" x14ac:dyDescent="0.15">
      <c r="F136" s="70"/>
      <c r="H136" s="71"/>
      <c r="I136" s="71"/>
      <c r="J136" s="71"/>
    </row>
    <row r="137" spans="6:10" ht="13" x14ac:dyDescent="0.15">
      <c r="F137" s="70"/>
      <c r="H137" s="71"/>
      <c r="I137" s="71"/>
      <c r="J137" s="71"/>
    </row>
    <row r="138" spans="6:10" ht="13" x14ac:dyDescent="0.15">
      <c r="F138" s="70"/>
      <c r="H138" s="71"/>
      <c r="I138" s="71"/>
      <c r="J138" s="71"/>
    </row>
    <row r="139" spans="6:10" ht="13" x14ac:dyDescent="0.15">
      <c r="F139" s="70"/>
      <c r="H139" s="71"/>
      <c r="I139" s="71"/>
      <c r="J139" s="71"/>
    </row>
    <row r="140" spans="6:10" ht="13" x14ac:dyDescent="0.15">
      <c r="F140" s="70"/>
      <c r="H140" s="71"/>
      <c r="I140" s="71"/>
      <c r="J140" s="71"/>
    </row>
    <row r="141" spans="6:10" ht="13" x14ac:dyDescent="0.15">
      <c r="F141" s="70"/>
      <c r="H141" s="71"/>
      <c r="I141" s="71"/>
      <c r="J141" s="71"/>
    </row>
    <row r="142" spans="6:10" ht="13" x14ac:dyDescent="0.15">
      <c r="F142" s="70"/>
      <c r="H142" s="71"/>
      <c r="I142" s="71"/>
      <c r="J142" s="71"/>
    </row>
    <row r="143" spans="6:10" ht="13" x14ac:dyDescent="0.15">
      <c r="F143" s="70"/>
      <c r="H143" s="71"/>
      <c r="I143" s="71"/>
      <c r="J143" s="71"/>
    </row>
    <row r="144" spans="6:10" ht="13" x14ac:dyDescent="0.15">
      <c r="F144" s="70"/>
      <c r="H144" s="71"/>
      <c r="I144" s="71"/>
      <c r="J144" s="71"/>
    </row>
    <row r="145" spans="6:10" ht="13" x14ac:dyDescent="0.15">
      <c r="F145" s="70"/>
      <c r="H145" s="71"/>
      <c r="I145" s="71"/>
      <c r="J145" s="71"/>
    </row>
    <row r="146" spans="6:10" ht="13" x14ac:dyDescent="0.15">
      <c r="F146" s="70"/>
      <c r="H146" s="71"/>
      <c r="I146" s="71"/>
      <c r="J146" s="71"/>
    </row>
    <row r="147" spans="6:10" ht="13" x14ac:dyDescent="0.15">
      <c r="F147" s="70"/>
      <c r="H147" s="71"/>
      <c r="I147" s="71"/>
      <c r="J147" s="71"/>
    </row>
    <row r="148" spans="6:10" ht="13" x14ac:dyDescent="0.15">
      <c r="F148" s="70"/>
      <c r="H148" s="71"/>
      <c r="I148" s="71"/>
      <c r="J148" s="71"/>
    </row>
    <row r="149" spans="6:10" ht="13" x14ac:dyDescent="0.15">
      <c r="F149" s="70"/>
      <c r="H149" s="71"/>
      <c r="I149" s="71"/>
      <c r="J149" s="71"/>
    </row>
    <row r="150" spans="6:10" ht="13" x14ac:dyDescent="0.15">
      <c r="F150" s="70"/>
      <c r="H150" s="71"/>
      <c r="I150" s="71"/>
      <c r="J150" s="71"/>
    </row>
    <row r="151" spans="6:10" ht="13" x14ac:dyDescent="0.15">
      <c r="F151" s="70"/>
      <c r="H151" s="71"/>
      <c r="I151" s="71"/>
      <c r="J151" s="71"/>
    </row>
    <row r="152" spans="6:10" ht="13" x14ac:dyDescent="0.15">
      <c r="F152" s="70"/>
      <c r="H152" s="71"/>
      <c r="I152" s="71"/>
      <c r="J152" s="71"/>
    </row>
    <row r="153" spans="6:10" ht="13" x14ac:dyDescent="0.15">
      <c r="F153" s="70"/>
      <c r="H153" s="71"/>
      <c r="I153" s="71"/>
      <c r="J153" s="71"/>
    </row>
    <row r="154" spans="6:10" ht="13" x14ac:dyDescent="0.15">
      <c r="F154" s="70"/>
      <c r="H154" s="71"/>
      <c r="I154" s="71"/>
      <c r="J154" s="71"/>
    </row>
    <row r="155" spans="6:10" ht="13" x14ac:dyDescent="0.15">
      <c r="F155" s="70"/>
      <c r="H155" s="71"/>
      <c r="I155" s="71"/>
      <c r="J155" s="71"/>
    </row>
    <row r="156" spans="6:10" ht="13" x14ac:dyDescent="0.15">
      <c r="F156" s="70"/>
      <c r="H156" s="71"/>
      <c r="I156" s="71"/>
      <c r="J156" s="71"/>
    </row>
    <row r="157" spans="6:10" ht="13" x14ac:dyDescent="0.15">
      <c r="F157" s="70"/>
      <c r="H157" s="71"/>
      <c r="I157" s="71"/>
      <c r="J157" s="71"/>
    </row>
    <row r="158" spans="6:10" ht="13" x14ac:dyDescent="0.15">
      <c r="F158" s="70"/>
      <c r="H158" s="71"/>
      <c r="I158" s="71"/>
      <c r="J158" s="71"/>
    </row>
    <row r="159" spans="6:10" ht="13" x14ac:dyDescent="0.15">
      <c r="F159" s="70"/>
      <c r="H159" s="71"/>
      <c r="I159" s="71"/>
      <c r="J159" s="71"/>
    </row>
    <row r="160" spans="6:10" ht="13" x14ac:dyDescent="0.15">
      <c r="F160" s="70"/>
      <c r="H160" s="71"/>
      <c r="I160" s="71"/>
      <c r="J160" s="71"/>
    </row>
    <row r="161" spans="6:10" ht="13" x14ac:dyDescent="0.15">
      <c r="F161" s="70"/>
      <c r="H161" s="71"/>
      <c r="I161" s="71"/>
      <c r="J161" s="71"/>
    </row>
    <row r="162" spans="6:10" ht="13" x14ac:dyDescent="0.15">
      <c r="F162" s="70"/>
      <c r="H162" s="71"/>
      <c r="I162" s="71"/>
      <c r="J162" s="71"/>
    </row>
    <row r="163" spans="6:10" ht="13" x14ac:dyDescent="0.15">
      <c r="F163" s="70"/>
      <c r="H163" s="71"/>
      <c r="I163" s="71"/>
      <c r="J163" s="71"/>
    </row>
    <row r="164" spans="6:10" ht="13" x14ac:dyDescent="0.15">
      <c r="F164" s="70"/>
      <c r="H164" s="71"/>
      <c r="I164" s="71"/>
      <c r="J164" s="71"/>
    </row>
    <row r="165" spans="6:10" ht="13" x14ac:dyDescent="0.15">
      <c r="F165" s="70"/>
      <c r="H165" s="71"/>
      <c r="I165" s="71"/>
      <c r="J165" s="71"/>
    </row>
    <row r="166" spans="6:10" ht="13" x14ac:dyDescent="0.15">
      <c r="F166" s="70"/>
      <c r="H166" s="71"/>
      <c r="I166" s="71"/>
      <c r="J166" s="71"/>
    </row>
    <row r="167" spans="6:10" ht="13" x14ac:dyDescent="0.15">
      <c r="F167" s="70"/>
      <c r="H167" s="71"/>
      <c r="I167" s="71"/>
      <c r="J167" s="71"/>
    </row>
    <row r="168" spans="6:10" ht="13" x14ac:dyDescent="0.15">
      <c r="F168" s="70"/>
      <c r="H168" s="71"/>
      <c r="I168" s="71"/>
      <c r="J168" s="71"/>
    </row>
    <row r="169" spans="6:10" ht="13" x14ac:dyDescent="0.15">
      <c r="F169" s="70"/>
      <c r="H169" s="71"/>
      <c r="I169" s="71"/>
      <c r="J169" s="71"/>
    </row>
    <row r="170" spans="6:10" ht="13" x14ac:dyDescent="0.15">
      <c r="F170" s="70"/>
      <c r="H170" s="71"/>
      <c r="I170" s="71"/>
      <c r="J170" s="71"/>
    </row>
    <row r="171" spans="6:10" ht="13" x14ac:dyDescent="0.15">
      <c r="F171" s="70"/>
      <c r="H171" s="71"/>
      <c r="I171" s="71"/>
      <c r="J171" s="71"/>
    </row>
    <row r="172" spans="6:10" ht="13" x14ac:dyDescent="0.15">
      <c r="F172" s="70"/>
      <c r="H172" s="71"/>
      <c r="I172" s="71"/>
      <c r="J172" s="71"/>
    </row>
    <row r="173" spans="6:10" ht="13" x14ac:dyDescent="0.15">
      <c r="F173" s="70"/>
      <c r="H173" s="71"/>
      <c r="I173" s="71"/>
      <c r="J173" s="71"/>
    </row>
    <row r="174" spans="6:10" ht="13" x14ac:dyDescent="0.15">
      <c r="F174" s="70"/>
      <c r="H174" s="71"/>
      <c r="I174" s="71"/>
      <c r="J174" s="71"/>
    </row>
    <row r="175" spans="6:10" ht="13" x14ac:dyDescent="0.15">
      <c r="F175" s="70"/>
      <c r="H175" s="71"/>
      <c r="I175" s="71"/>
      <c r="J175" s="71"/>
    </row>
    <row r="176" spans="6:10" ht="13" x14ac:dyDescent="0.15">
      <c r="F176" s="70"/>
      <c r="H176" s="71"/>
      <c r="I176" s="71"/>
      <c r="J176" s="71"/>
    </row>
    <row r="177" spans="6:10" ht="13" x14ac:dyDescent="0.15">
      <c r="F177" s="70"/>
      <c r="H177" s="71"/>
      <c r="I177" s="71"/>
      <c r="J177" s="71"/>
    </row>
    <row r="178" spans="6:10" ht="13" x14ac:dyDescent="0.15">
      <c r="F178" s="70"/>
      <c r="H178" s="71"/>
      <c r="I178" s="71"/>
      <c r="J178" s="71"/>
    </row>
    <row r="179" spans="6:10" ht="13" x14ac:dyDescent="0.15">
      <c r="F179" s="70"/>
      <c r="H179" s="71"/>
      <c r="I179" s="71"/>
      <c r="J179" s="71"/>
    </row>
    <row r="180" spans="6:10" ht="13" x14ac:dyDescent="0.15">
      <c r="F180" s="70"/>
      <c r="H180" s="71"/>
      <c r="I180" s="71"/>
      <c r="J180" s="71"/>
    </row>
    <row r="181" spans="6:10" ht="13" x14ac:dyDescent="0.15">
      <c r="F181" s="70"/>
      <c r="H181" s="71"/>
      <c r="I181" s="71"/>
      <c r="J181" s="71"/>
    </row>
    <row r="182" spans="6:10" ht="13" x14ac:dyDescent="0.15">
      <c r="F182" s="70"/>
      <c r="H182" s="71"/>
      <c r="I182" s="71"/>
      <c r="J182" s="71"/>
    </row>
    <row r="183" spans="6:10" ht="13" x14ac:dyDescent="0.15">
      <c r="F183" s="70"/>
      <c r="H183" s="71"/>
      <c r="I183" s="71"/>
      <c r="J183" s="71"/>
    </row>
    <row r="184" spans="6:10" ht="13" x14ac:dyDescent="0.15">
      <c r="F184" s="70"/>
      <c r="H184" s="71"/>
      <c r="I184" s="71"/>
      <c r="J184" s="71"/>
    </row>
    <row r="185" spans="6:10" ht="13" x14ac:dyDescent="0.15">
      <c r="F185" s="70"/>
      <c r="H185" s="71"/>
      <c r="I185" s="71"/>
      <c r="J185" s="71"/>
    </row>
    <row r="186" spans="6:10" ht="13" x14ac:dyDescent="0.15">
      <c r="F186" s="70"/>
      <c r="H186" s="71"/>
      <c r="I186" s="71"/>
      <c r="J186" s="71"/>
    </row>
    <row r="187" spans="6:10" ht="13" x14ac:dyDescent="0.15">
      <c r="F187" s="70"/>
      <c r="H187" s="71"/>
      <c r="I187" s="71"/>
      <c r="J187" s="71"/>
    </row>
    <row r="188" spans="6:10" ht="13" x14ac:dyDescent="0.15">
      <c r="F188" s="70"/>
      <c r="H188" s="71"/>
      <c r="I188" s="71"/>
      <c r="J188" s="71"/>
    </row>
    <row r="189" spans="6:10" ht="13" x14ac:dyDescent="0.15">
      <c r="F189" s="70"/>
      <c r="H189" s="71"/>
      <c r="I189" s="71"/>
      <c r="J189" s="71"/>
    </row>
    <row r="190" spans="6:10" ht="13" x14ac:dyDescent="0.15">
      <c r="F190" s="70"/>
      <c r="H190" s="71"/>
      <c r="I190" s="71"/>
      <c r="J190" s="71"/>
    </row>
    <row r="191" spans="6:10" ht="13" x14ac:dyDescent="0.15">
      <c r="F191" s="70"/>
      <c r="H191" s="71"/>
      <c r="I191" s="71"/>
      <c r="J191" s="71"/>
    </row>
    <row r="192" spans="6:10" ht="13" x14ac:dyDescent="0.15">
      <c r="F192" s="70"/>
      <c r="H192" s="71"/>
      <c r="I192" s="71"/>
      <c r="J192" s="71"/>
    </row>
    <row r="193" spans="6:10" ht="13" x14ac:dyDescent="0.15">
      <c r="F193" s="70"/>
      <c r="H193" s="71"/>
      <c r="I193" s="71"/>
      <c r="J193" s="71"/>
    </row>
    <row r="194" spans="6:10" ht="13" x14ac:dyDescent="0.15">
      <c r="F194" s="70"/>
      <c r="H194" s="71"/>
      <c r="I194" s="71"/>
      <c r="J194" s="71"/>
    </row>
    <row r="195" spans="6:10" ht="13" x14ac:dyDescent="0.15">
      <c r="F195" s="70"/>
      <c r="H195" s="71"/>
      <c r="I195" s="71"/>
      <c r="J195" s="71"/>
    </row>
    <row r="196" spans="6:10" ht="13" x14ac:dyDescent="0.15">
      <c r="F196" s="70"/>
      <c r="H196" s="71"/>
      <c r="I196" s="71"/>
      <c r="J196" s="71"/>
    </row>
    <row r="197" spans="6:10" ht="13" x14ac:dyDescent="0.15">
      <c r="F197" s="70"/>
      <c r="H197" s="71"/>
      <c r="I197" s="71"/>
      <c r="J197" s="71"/>
    </row>
    <row r="198" spans="6:10" ht="13" x14ac:dyDescent="0.15">
      <c r="F198" s="70"/>
      <c r="H198" s="71"/>
      <c r="I198" s="71"/>
      <c r="J198" s="71"/>
    </row>
    <row r="199" spans="6:10" ht="13" x14ac:dyDescent="0.15">
      <c r="F199" s="70"/>
      <c r="H199" s="71"/>
      <c r="I199" s="71"/>
      <c r="J199" s="71"/>
    </row>
    <row r="200" spans="6:10" ht="13" x14ac:dyDescent="0.15">
      <c r="F200" s="70"/>
      <c r="H200" s="71"/>
      <c r="I200" s="71"/>
      <c r="J200" s="71"/>
    </row>
    <row r="201" spans="6:10" ht="13" x14ac:dyDescent="0.15">
      <c r="F201" s="70"/>
      <c r="H201" s="71"/>
      <c r="I201" s="71"/>
      <c r="J201" s="71"/>
    </row>
    <row r="202" spans="6:10" ht="13" x14ac:dyDescent="0.15">
      <c r="F202" s="70"/>
      <c r="H202" s="71"/>
      <c r="I202" s="71"/>
      <c r="J202" s="71"/>
    </row>
    <row r="203" spans="6:10" ht="13" x14ac:dyDescent="0.15">
      <c r="F203" s="70"/>
      <c r="H203" s="71"/>
      <c r="I203" s="71"/>
      <c r="J203" s="71"/>
    </row>
    <row r="204" spans="6:10" ht="13" x14ac:dyDescent="0.15">
      <c r="F204" s="70"/>
      <c r="H204" s="71"/>
      <c r="I204" s="71"/>
      <c r="J204" s="71"/>
    </row>
    <row r="205" spans="6:10" ht="13" x14ac:dyDescent="0.15">
      <c r="F205" s="70"/>
      <c r="H205" s="71"/>
      <c r="I205" s="71"/>
      <c r="J205" s="71"/>
    </row>
    <row r="206" spans="6:10" ht="13" x14ac:dyDescent="0.15">
      <c r="F206" s="70"/>
      <c r="H206" s="71"/>
      <c r="I206" s="71"/>
      <c r="J206" s="71"/>
    </row>
    <row r="207" spans="6:10" ht="13" x14ac:dyDescent="0.15">
      <c r="F207" s="70"/>
      <c r="H207" s="71"/>
      <c r="I207" s="71"/>
      <c r="J207" s="71"/>
    </row>
    <row r="208" spans="6:10" ht="13" x14ac:dyDescent="0.15">
      <c r="F208" s="70"/>
      <c r="H208" s="71"/>
      <c r="I208" s="71"/>
      <c r="J208" s="71"/>
    </row>
    <row r="209" spans="6:10" ht="13" x14ac:dyDescent="0.15">
      <c r="F209" s="70"/>
      <c r="H209" s="71"/>
      <c r="I209" s="71"/>
      <c r="J209" s="71"/>
    </row>
    <row r="210" spans="6:10" ht="13" x14ac:dyDescent="0.15">
      <c r="F210" s="70"/>
      <c r="H210" s="71"/>
      <c r="I210" s="71"/>
      <c r="J210" s="71"/>
    </row>
    <row r="211" spans="6:10" ht="13" x14ac:dyDescent="0.15">
      <c r="F211" s="70"/>
      <c r="H211" s="71"/>
      <c r="I211" s="71"/>
      <c r="J211" s="71"/>
    </row>
    <row r="212" spans="6:10" ht="13" x14ac:dyDescent="0.15">
      <c r="F212" s="70"/>
      <c r="H212" s="71"/>
      <c r="I212" s="71"/>
      <c r="J212" s="71"/>
    </row>
    <row r="213" spans="6:10" ht="13" x14ac:dyDescent="0.15">
      <c r="F213" s="70"/>
      <c r="H213" s="71"/>
      <c r="I213" s="71"/>
      <c r="J213" s="71"/>
    </row>
    <row r="214" spans="6:10" ht="13" x14ac:dyDescent="0.15">
      <c r="F214" s="70"/>
      <c r="H214" s="71"/>
      <c r="I214" s="71"/>
      <c r="J214" s="71"/>
    </row>
    <row r="215" spans="6:10" ht="13" x14ac:dyDescent="0.15">
      <c r="F215" s="70"/>
      <c r="H215" s="71"/>
      <c r="I215" s="71"/>
      <c r="J215" s="71"/>
    </row>
    <row r="216" spans="6:10" ht="13" x14ac:dyDescent="0.15">
      <c r="F216" s="70"/>
      <c r="H216" s="71"/>
      <c r="I216" s="71"/>
      <c r="J216" s="71"/>
    </row>
    <row r="217" spans="6:10" ht="13" x14ac:dyDescent="0.15">
      <c r="F217" s="70"/>
      <c r="H217" s="71"/>
      <c r="I217" s="71"/>
      <c r="J217" s="71"/>
    </row>
    <row r="218" spans="6:10" ht="13" x14ac:dyDescent="0.15">
      <c r="F218" s="70"/>
      <c r="H218" s="71"/>
      <c r="I218" s="71"/>
      <c r="J218" s="71"/>
    </row>
    <row r="219" spans="6:10" ht="13" x14ac:dyDescent="0.15">
      <c r="F219" s="70"/>
      <c r="H219" s="71"/>
      <c r="I219" s="71"/>
      <c r="J219" s="71"/>
    </row>
    <row r="220" spans="6:10" ht="13" x14ac:dyDescent="0.15">
      <c r="F220" s="70"/>
      <c r="H220" s="71"/>
      <c r="I220" s="71"/>
      <c r="J220" s="71"/>
    </row>
    <row r="221" spans="6:10" ht="13" x14ac:dyDescent="0.15">
      <c r="F221" s="70"/>
      <c r="H221" s="71"/>
      <c r="I221" s="71"/>
      <c r="J221" s="71"/>
    </row>
    <row r="222" spans="6:10" ht="13" x14ac:dyDescent="0.15">
      <c r="F222" s="70"/>
      <c r="H222" s="71"/>
      <c r="I222" s="71"/>
      <c r="J222" s="71"/>
    </row>
    <row r="223" spans="6:10" ht="13" x14ac:dyDescent="0.15">
      <c r="F223" s="70"/>
      <c r="H223" s="71"/>
      <c r="I223" s="71"/>
      <c r="J223" s="71"/>
    </row>
    <row r="224" spans="6:10" ht="13" x14ac:dyDescent="0.15">
      <c r="F224" s="70"/>
      <c r="H224" s="71"/>
      <c r="I224" s="71"/>
      <c r="J224" s="71"/>
    </row>
    <row r="225" spans="6:10" ht="13" x14ac:dyDescent="0.15">
      <c r="F225" s="70"/>
      <c r="H225" s="71"/>
      <c r="I225" s="71"/>
      <c r="J225" s="71"/>
    </row>
    <row r="226" spans="6:10" ht="13" x14ac:dyDescent="0.15">
      <c r="F226" s="70"/>
      <c r="H226" s="71"/>
      <c r="I226" s="71"/>
      <c r="J226" s="71"/>
    </row>
    <row r="227" spans="6:10" ht="13" x14ac:dyDescent="0.15">
      <c r="F227" s="70"/>
      <c r="H227" s="71"/>
      <c r="I227" s="71"/>
      <c r="J227" s="71"/>
    </row>
    <row r="228" spans="6:10" ht="13" x14ac:dyDescent="0.15">
      <c r="F228" s="70"/>
      <c r="H228" s="71"/>
      <c r="I228" s="71"/>
      <c r="J228" s="71"/>
    </row>
    <row r="229" spans="6:10" ht="13" x14ac:dyDescent="0.15">
      <c r="F229" s="70"/>
      <c r="H229" s="71"/>
      <c r="I229" s="71"/>
      <c r="J229" s="71"/>
    </row>
    <row r="230" spans="6:10" ht="13" x14ac:dyDescent="0.15">
      <c r="F230" s="70"/>
      <c r="H230" s="71"/>
      <c r="I230" s="71"/>
      <c r="J230" s="71"/>
    </row>
    <row r="231" spans="6:10" ht="13" x14ac:dyDescent="0.15">
      <c r="F231" s="70"/>
      <c r="H231" s="71"/>
      <c r="I231" s="71"/>
      <c r="J231" s="71"/>
    </row>
    <row r="232" spans="6:10" ht="13" x14ac:dyDescent="0.15">
      <c r="F232" s="70"/>
      <c r="H232" s="71"/>
      <c r="I232" s="71"/>
      <c r="J232" s="71"/>
    </row>
    <row r="233" spans="6:10" ht="13" x14ac:dyDescent="0.15">
      <c r="F233" s="70"/>
      <c r="H233" s="71"/>
      <c r="I233" s="71"/>
      <c r="J233" s="71"/>
    </row>
    <row r="234" spans="6:10" ht="13" x14ac:dyDescent="0.15">
      <c r="F234" s="70"/>
      <c r="H234" s="71"/>
      <c r="I234" s="71"/>
      <c r="J234" s="71"/>
    </row>
    <row r="235" spans="6:10" ht="13" x14ac:dyDescent="0.15">
      <c r="F235" s="70"/>
      <c r="H235" s="71"/>
      <c r="I235" s="71"/>
      <c r="J235" s="71"/>
    </row>
    <row r="236" spans="6:10" ht="13" x14ac:dyDescent="0.15">
      <c r="F236" s="70"/>
      <c r="H236" s="71"/>
      <c r="I236" s="71"/>
      <c r="J236" s="71"/>
    </row>
    <row r="237" spans="6:10" ht="13" x14ac:dyDescent="0.15">
      <c r="F237" s="70"/>
      <c r="H237" s="71"/>
      <c r="I237" s="71"/>
      <c r="J237" s="71"/>
    </row>
    <row r="238" spans="6:10" ht="13" x14ac:dyDescent="0.15">
      <c r="F238" s="70"/>
      <c r="H238" s="71"/>
      <c r="I238" s="71"/>
      <c r="J238" s="71"/>
    </row>
    <row r="239" spans="6:10" ht="13" x14ac:dyDescent="0.15">
      <c r="F239" s="70"/>
      <c r="H239" s="71"/>
      <c r="I239" s="71"/>
      <c r="J239" s="71"/>
    </row>
    <row r="240" spans="6:10" ht="13" x14ac:dyDescent="0.15">
      <c r="F240" s="70"/>
      <c r="H240" s="71"/>
      <c r="I240" s="71"/>
      <c r="J240" s="71"/>
    </row>
    <row r="241" spans="6:10" ht="13" x14ac:dyDescent="0.15">
      <c r="F241" s="70"/>
      <c r="H241" s="71"/>
      <c r="I241" s="71"/>
      <c r="J241" s="71"/>
    </row>
    <row r="242" spans="6:10" ht="13" x14ac:dyDescent="0.15">
      <c r="F242" s="70"/>
      <c r="H242" s="71"/>
      <c r="I242" s="71"/>
      <c r="J242" s="71"/>
    </row>
    <row r="243" spans="6:10" ht="13" x14ac:dyDescent="0.15">
      <c r="F243" s="70"/>
      <c r="H243" s="71"/>
      <c r="I243" s="71"/>
      <c r="J243" s="71"/>
    </row>
    <row r="244" spans="6:10" ht="13" x14ac:dyDescent="0.15">
      <c r="F244" s="70"/>
      <c r="H244" s="71"/>
      <c r="I244" s="71"/>
      <c r="J244" s="71"/>
    </row>
    <row r="245" spans="6:10" ht="13" x14ac:dyDescent="0.15">
      <c r="F245" s="70"/>
      <c r="H245" s="71"/>
      <c r="I245" s="71"/>
      <c r="J245" s="71"/>
    </row>
    <row r="246" spans="6:10" ht="13" x14ac:dyDescent="0.15">
      <c r="F246" s="70"/>
      <c r="H246" s="71"/>
      <c r="I246" s="71"/>
      <c r="J246" s="71"/>
    </row>
    <row r="247" spans="6:10" ht="13" x14ac:dyDescent="0.15">
      <c r="F247" s="70"/>
      <c r="H247" s="71"/>
      <c r="I247" s="71"/>
      <c r="J247" s="71"/>
    </row>
    <row r="248" spans="6:10" ht="13" x14ac:dyDescent="0.15">
      <c r="F248" s="70"/>
      <c r="H248" s="71"/>
      <c r="I248" s="71"/>
      <c r="J248" s="71"/>
    </row>
    <row r="249" spans="6:10" ht="13" x14ac:dyDescent="0.15">
      <c r="F249" s="70"/>
      <c r="H249" s="71"/>
      <c r="I249" s="71"/>
      <c r="J249" s="71"/>
    </row>
    <row r="250" spans="6:10" ht="13" x14ac:dyDescent="0.15">
      <c r="F250" s="70"/>
      <c r="H250" s="71"/>
      <c r="I250" s="71"/>
      <c r="J250" s="71"/>
    </row>
    <row r="251" spans="6:10" ht="13" x14ac:dyDescent="0.15">
      <c r="F251" s="70"/>
      <c r="H251" s="71"/>
      <c r="I251" s="71"/>
      <c r="J251" s="71"/>
    </row>
    <row r="252" spans="6:10" ht="13" x14ac:dyDescent="0.15">
      <c r="F252" s="70"/>
      <c r="H252" s="71"/>
      <c r="I252" s="71"/>
      <c r="J252" s="71"/>
    </row>
    <row r="253" spans="6:10" ht="13" x14ac:dyDescent="0.15">
      <c r="F253" s="70"/>
      <c r="H253" s="71"/>
      <c r="I253" s="71"/>
      <c r="J253" s="71"/>
    </row>
    <row r="254" spans="6:10" ht="13" x14ac:dyDescent="0.15">
      <c r="F254" s="70"/>
      <c r="H254" s="71"/>
      <c r="I254" s="71"/>
      <c r="J254" s="71"/>
    </row>
    <row r="255" spans="6:10" ht="13" x14ac:dyDescent="0.15">
      <c r="F255" s="70"/>
      <c r="H255" s="71"/>
      <c r="I255" s="71"/>
      <c r="J255" s="71"/>
    </row>
    <row r="256" spans="6:10" ht="13" x14ac:dyDescent="0.15">
      <c r="F256" s="70"/>
      <c r="H256" s="71"/>
      <c r="I256" s="71"/>
      <c r="J256" s="71"/>
    </row>
    <row r="257" spans="6:10" ht="13" x14ac:dyDescent="0.15">
      <c r="F257" s="70"/>
      <c r="H257" s="71"/>
      <c r="I257" s="71"/>
      <c r="J257" s="71"/>
    </row>
    <row r="258" spans="6:10" ht="13" x14ac:dyDescent="0.15">
      <c r="F258" s="70"/>
      <c r="H258" s="71"/>
      <c r="I258" s="71"/>
      <c r="J258" s="71"/>
    </row>
    <row r="259" spans="6:10" ht="13" x14ac:dyDescent="0.15">
      <c r="F259" s="70"/>
      <c r="H259" s="71"/>
      <c r="I259" s="71"/>
      <c r="J259" s="71"/>
    </row>
    <row r="260" spans="6:10" ht="13" x14ac:dyDescent="0.15">
      <c r="F260" s="70"/>
      <c r="H260" s="71"/>
      <c r="I260" s="71"/>
      <c r="J260" s="71"/>
    </row>
    <row r="261" spans="6:10" ht="13" x14ac:dyDescent="0.15">
      <c r="F261" s="70"/>
      <c r="H261" s="71"/>
      <c r="I261" s="71"/>
      <c r="J261" s="71"/>
    </row>
    <row r="262" spans="6:10" ht="13" x14ac:dyDescent="0.15">
      <c r="F262" s="70"/>
      <c r="H262" s="71"/>
      <c r="I262" s="71"/>
      <c r="J262" s="71"/>
    </row>
    <row r="263" spans="6:10" ht="13" x14ac:dyDescent="0.15">
      <c r="F263" s="70"/>
      <c r="H263" s="71"/>
      <c r="I263" s="71"/>
      <c r="J263" s="71"/>
    </row>
    <row r="264" spans="6:10" ht="13" x14ac:dyDescent="0.15">
      <c r="F264" s="70"/>
      <c r="H264" s="71"/>
      <c r="I264" s="71"/>
      <c r="J264" s="71"/>
    </row>
    <row r="265" spans="6:10" ht="13" x14ac:dyDescent="0.15">
      <c r="F265" s="70"/>
      <c r="H265" s="71"/>
      <c r="I265" s="71"/>
      <c r="J265" s="71"/>
    </row>
    <row r="266" spans="6:10" ht="13" x14ac:dyDescent="0.15">
      <c r="F266" s="70"/>
      <c r="H266" s="71"/>
      <c r="I266" s="71"/>
      <c r="J266" s="71"/>
    </row>
    <row r="267" spans="6:10" ht="13" x14ac:dyDescent="0.15">
      <c r="F267" s="70"/>
      <c r="H267" s="71"/>
      <c r="I267" s="71"/>
      <c r="J267" s="71"/>
    </row>
    <row r="268" spans="6:10" ht="13" x14ac:dyDescent="0.15">
      <c r="F268" s="70"/>
      <c r="H268" s="71"/>
      <c r="I268" s="71"/>
      <c r="J268" s="71"/>
    </row>
    <row r="269" spans="6:10" ht="13" x14ac:dyDescent="0.15">
      <c r="F269" s="70"/>
      <c r="H269" s="71"/>
      <c r="I269" s="71"/>
      <c r="J269" s="71"/>
    </row>
    <row r="270" spans="6:10" ht="13" x14ac:dyDescent="0.15">
      <c r="F270" s="70"/>
      <c r="H270" s="71"/>
      <c r="I270" s="71"/>
      <c r="J270" s="71"/>
    </row>
    <row r="271" spans="6:10" ht="13" x14ac:dyDescent="0.15">
      <c r="F271" s="70"/>
      <c r="H271" s="71"/>
      <c r="I271" s="71"/>
      <c r="J271" s="71"/>
    </row>
    <row r="272" spans="6:10" ht="13" x14ac:dyDescent="0.15">
      <c r="F272" s="70"/>
      <c r="H272" s="71"/>
      <c r="I272" s="71"/>
      <c r="J272" s="71"/>
    </row>
    <row r="273" spans="6:10" ht="13" x14ac:dyDescent="0.15">
      <c r="F273" s="70"/>
      <c r="H273" s="71"/>
      <c r="I273" s="71"/>
      <c r="J273" s="71"/>
    </row>
    <row r="274" spans="6:10" ht="13" x14ac:dyDescent="0.15">
      <c r="F274" s="70"/>
      <c r="H274" s="71"/>
      <c r="I274" s="71"/>
      <c r="J274" s="71"/>
    </row>
    <row r="275" spans="6:10" ht="13" x14ac:dyDescent="0.15">
      <c r="F275" s="70"/>
      <c r="H275" s="71"/>
      <c r="I275" s="71"/>
      <c r="J275" s="71"/>
    </row>
    <row r="276" spans="6:10" ht="13" x14ac:dyDescent="0.15">
      <c r="F276" s="70"/>
      <c r="H276" s="71"/>
      <c r="I276" s="71"/>
      <c r="J276" s="71"/>
    </row>
    <row r="277" spans="6:10" ht="13" x14ac:dyDescent="0.15">
      <c r="F277" s="70"/>
      <c r="H277" s="71"/>
      <c r="I277" s="71"/>
      <c r="J277" s="71"/>
    </row>
    <row r="278" spans="6:10" ht="13" x14ac:dyDescent="0.15">
      <c r="F278" s="70"/>
      <c r="H278" s="71"/>
      <c r="I278" s="71"/>
      <c r="J278" s="71"/>
    </row>
    <row r="279" spans="6:10" ht="13" x14ac:dyDescent="0.15">
      <c r="F279" s="70"/>
      <c r="H279" s="71"/>
      <c r="I279" s="71"/>
      <c r="J279" s="71"/>
    </row>
    <row r="280" spans="6:10" ht="13" x14ac:dyDescent="0.15">
      <c r="F280" s="70"/>
      <c r="H280" s="71"/>
      <c r="I280" s="71"/>
      <c r="J280" s="71"/>
    </row>
    <row r="281" spans="6:10" ht="13" x14ac:dyDescent="0.15">
      <c r="F281" s="70"/>
      <c r="H281" s="71"/>
      <c r="I281" s="71"/>
      <c r="J281" s="71"/>
    </row>
    <row r="282" spans="6:10" ht="13" x14ac:dyDescent="0.15">
      <c r="F282" s="70"/>
      <c r="H282" s="71"/>
      <c r="I282" s="71"/>
      <c r="J282" s="71"/>
    </row>
    <row r="283" spans="6:10" ht="13" x14ac:dyDescent="0.15">
      <c r="F283" s="70"/>
      <c r="H283" s="71"/>
      <c r="I283" s="71"/>
      <c r="J283" s="71"/>
    </row>
    <row r="284" spans="6:10" ht="13" x14ac:dyDescent="0.15">
      <c r="F284" s="70"/>
      <c r="H284" s="71"/>
      <c r="I284" s="71"/>
      <c r="J284" s="71"/>
    </row>
    <row r="285" spans="6:10" ht="13" x14ac:dyDescent="0.15">
      <c r="F285" s="70"/>
      <c r="H285" s="71"/>
      <c r="I285" s="71"/>
      <c r="J285" s="71"/>
    </row>
    <row r="286" spans="6:10" ht="13" x14ac:dyDescent="0.15">
      <c r="F286" s="70"/>
      <c r="H286" s="71"/>
      <c r="I286" s="71"/>
      <c r="J286" s="71"/>
    </row>
    <row r="287" spans="6:10" ht="13" x14ac:dyDescent="0.15">
      <c r="F287" s="70"/>
      <c r="H287" s="71"/>
      <c r="I287" s="71"/>
      <c r="J287" s="71"/>
    </row>
    <row r="288" spans="6:10" ht="13" x14ac:dyDescent="0.15">
      <c r="F288" s="70"/>
      <c r="H288" s="71"/>
      <c r="I288" s="71"/>
      <c r="J288" s="71"/>
    </row>
    <row r="289" spans="6:10" ht="13" x14ac:dyDescent="0.15">
      <c r="F289" s="70"/>
      <c r="H289" s="71"/>
      <c r="I289" s="71"/>
      <c r="J289" s="71"/>
    </row>
    <row r="290" spans="6:10" ht="13" x14ac:dyDescent="0.15">
      <c r="F290" s="70"/>
      <c r="H290" s="71"/>
      <c r="I290" s="71"/>
      <c r="J290" s="71"/>
    </row>
    <row r="291" spans="6:10" ht="13" x14ac:dyDescent="0.15">
      <c r="F291" s="70"/>
      <c r="H291" s="71"/>
      <c r="I291" s="71"/>
      <c r="J291" s="71"/>
    </row>
    <row r="292" spans="6:10" ht="13" x14ac:dyDescent="0.15">
      <c r="F292" s="70"/>
      <c r="H292" s="71"/>
      <c r="I292" s="71"/>
      <c r="J292" s="71"/>
    </row>
    <row r="293" spans="6:10" ht="13" x14ac:dyDescent="0.15">
      <c r="F293" s="70"/>
      <c r="H293" s="71"/>
      <c r="I293" s="71"/>
      <c r="J293" s="71"/>
    </row>
    <row r="294" spans="6:10" ht="13" x14ac:dyDescent="0.15">
      <c r="F294" s="70"/>
      <c r="H294" s="71"/>
      <c r="I294" s="71"/>
      <c r="J294" s="71"/>
    </row>
    <row r="295" spans="6:10" ht="13" x14ac:dyDescent="0.15">
      <c r="F295" s="70"/>
      <c r="H295" s="71"/>
      <c r="I295" s="71"/>
      <c r="J295" s="71"/>
    </row>
    <row r="296" spans="6:10" ht="13" x14ac:dyDescent="0.15">
      <c r="F296" s="70"/>
      <c r="H296" s="71"/>
      <c r="I296" s="71"/>
      <c r="J296" s="71"/>
    </row>
    <row r="297" spans="6:10" ht="13" x14ac:dyDescent="0.15">
      <c r="F297" s="70"/>
      <c r="H297" s="71"/>
      <c r="I297" s="71"/>
      <c r="J297" s="71"/>
    </row>
    <row r="298" spans="6:10" ht="13" x14ac:dyDescent="0.15">
      <c r="F298" s="70"/>
      <c r="H298" s="71"/>
      <c r="I298" s="71"/>
      <c r="J298" s="71"/>
    </row>
    <row r="299" spans="6:10" ht="13" x14ac:dyDescent="0.15">
      <c r="F299" s="70"/>
      <c r="H299" s="71"/>
      <c r="I299" s="71"/>
      <c r="J299" s="71"/>
    </row>
    <row r="300" spans="6:10" ht="13" x14ac:dyDescent="0.15">
      <c r="F300" s="70"/>
      <c r="H300" s="71"/>
      <c r="I300" s="71"/>
      <c r="J300" s="71"/>
    </row>
    <row r="301" spans="6:10" ht="13" x14ac:dyDescent="0.15">
      <c r="F301" s="70"/>
      <c r="H301" s="71"/>
      <c r="I301" s="71"/>
      <c r="J301" s="71"/>
    </row>
    <row r="302" spans="6:10" ht="13" x14ac:dyDescent="0.15">
      <c r="F302" s="70"/>
      <c r="H302" s="71"/>
      <c r="I302" s="71"/>
      <c r="J302" s="71"/>
    </row>
    <row r="303" spans="6:10" ht="13" x14ac:dyDescent="0.15">
      <c r="F303" s="70"/>
      <c r="H303" s="71"/>
      <c r="I303" s="71"/>
      <c r="J303" s="71"/>
    </row>
    <row r="304" spans="6:10" ht="13" x14ac:dyDescent="0.15">
      <c r="F304" s="70"/>
      <c r="H304" s="71"/>
      <c r="I304" s="71"/>
      <c r="J304" s="71"/>
    </row>
    <row r="305" spans="6:10" ht="13" x14ac:dyDescent="0.15">
      <c r="F305" s="70"/>
      <c r="H305" s="71"/>
      <c r="I305" s="71"/>
      <c r="J305" s="71"/>
    </row>
    <row r="306" spans="6:10" ht="13" x14ac:dyDescent="0.15">
      <c r="F306" s="70"/>
      <c r="H306" s="71"/>
      <c r="I306" s="71"/>
      <c r="J306" s="71"/>
    </row>
    <row r="307" spans="6:10" ht="13" x14ac:dyDescent="0.15">
      <c r="F307" s="70"/>
      <c r="H307" s="71"/>
      <c r="I307" s="71"/>
      <c r="J307" s="71"/>
    </row>
    <row r="308" spans="6:10" ht="13" x14ac:dyDescent="0.15">
      <c r="F308" s="70"/>
      <c r="H308" s="71"/>
      <c r="I308" s="71"/>
      <c r="J308" s="71"/>
    </row>
    <row r="309" spans="6:10" ht="13" x14ac:dyDescent="0.15">
      <c r="F309" s="70"/>
      <c r="H309" s="71"/>
      <c r="I309" s="71"/>
      <c r="J309" s="71"/>
    </row>
    <row r="310" spans="6:10" ht="13" x14ac:dyDescent="0.15">
      <c r="F310" s="70"/>
      <c r="H310" s="71"/>
      <c r="I310" s="71"/>
      <c r="J310" s="71"/>
    </row>
    <row r="311" spans="6:10" ht="13" x14ac:dyDescent="0.15">
      <c r="F311" s="70"/>
      <c r="H311" s="71"/>
      <c r="I311" s="71"/>
      <c r="J311" s="71"/>
    </row>
    <row r="312" spans="6:10" ht="13" x14ac:dyDescent="0.15">
      <c r="F312" s="70"/>
      <c r="H312" s="71"/>
      <c r="I312" s="71"/>
      <c r="J312" s="71"/>
    </row>
    <row r="313" spans="6:10" ht="13" x14ac:dyDescent="0.15">
      <c r="F313" s="70"/>
      <c r="H313" s="71"/>
      <c r="I313" s="71"/>
      <c r="J313" s="71"/>
    </row>
    <row r="314" spans="6:10" ht="13" x14ac:dyDescent="0.15">
      <c r="F314" s="70"/>
      <c r="H314" s="71"/>
      <c r="I314" s="71"/>
      <c r="J314" s="71"/>
    </row>
    <row r="315" spans="6:10" ht="13" x14ac:dyDescent="0.15">
      <c r="F315" s="70"/>
      <c r="H315" s="71"/>
      <c r="I315" s="71"/>
      <c r="J315" s="71"/>
    </row>
    <row r="316" spans="6:10" ht="13" x14ac:dyDescent="0.15">
      <c r="F316" s="70"/>
      <c r="H316" s="71"/>
      <c r="I316" s="71"/>
      <c r="J316" s="71"/>
    </row>
    <row r="317" spans="6:10" ht="13" x14ac:dyDescent="0.15">
      <c r="F317" s="70"/>
      <c r="H317" s="71"/>
      <c r="I317" s="71"/>
      <c r="J317" s="71"/>
    </row>
    <row r="318" spans="6:10" ht="13" x14ac:dyDescent="0.15">
      <c r="F318" s="70"/>
      <c r="H318" s="71"/>
      <c r="I318" s="71"/>
      <c r="J318" s="71"/>
    </row>
    <row r="319" spans="6:10" ht="13" x14ac:dyDescent="0.15">
      <c r="F319" s="70"/>
      <c r="H319" s="71"/>
      <c r="I319" s="71"/>
      <c r="J319" s="71"/>
    </row>
    <row r="320" spans="6:10" ht="13" x14ac:dyDescent="0.15">
      <c r="F320" s="70"/>
      <c r="H320" s="71"/>
      <c r="I320" s="71"/>
      <c r="J320" s="71"/>
    </row>
    <row r="321" spans="6:10" ht="13" x14ac:dyDescent="0.15">
      <c r="F321" s="70"/>
      <c r="H321" s="71"/>
      <c r="I321" s="71"/>
      <c r="J321" s="71"/>
    </row>
    <row r="322" spans="6:10" ht="13" x14ac:dyDescent="0.15">
      <c r="F322" s="70"/>
      <c r="H322" s="71"/>
      <c r="I322" s="71"/>
      <c r="J322" s="71"/>
    </row>
    <row r="323" spans="6:10" ht="13" x14ac:dyDescent="0.15">
      <c r="F323" s="70"/>
      <c r="H323" s="71"/>
      <c r="I323" s="71"/>
      <c r="J323" s="71"/>
    </row>
    <row r="324" spans="6:10" ht="13" x14ac:dyDescent="0.15">
      <c r="F324" s="70"/>
      <c r="H324" s="71"/>
      <c r="I324" s="71"/>
      <c r="J324" s="71"/>
    </row>
    <row r="325" spans="6:10" ht="13" x14ac:dyDescent="0.15">
      <c r="F325" s="70"/>
      <c r="H325" s="71"/>
      <c r="I325" s="71"/>
      <c r="J325" s="71"/>
    </row>
    <row r="326" spans="6:10" ht="13" x14ac:dyDescent="0.15">
      <c r="F326" s="70"/>
      <c r="H326" s="71"/>
      <c r="I326" s="71"/>
      <c r="J326" s="71"/>
    </row>
    <row r="327" spans="6:10" ht="13" x14ac:dyDescent="0.15">
      <c r="F327" s="70"/>
      <c r="H327" s="71"/>
      <c r="I327" s="71"/>
      <c r="J327" s="71"/>
    </row>
    <row r="328" spans="6:10" ht="13" x14ac:dyDescent="0.15">
      <c r="F328" s="70"/>
      <c r="H328" s="71"/>
      <c r="I328" s="71"/>
      <c r="J328" s="71"/>
    </row>
    <row r="329" spans="6:10" ht="13" x14ac:dyDescent="0.15">
      <c r="F329" s="70"/>
      <c r="H329" s="71"/>
      <c r="I329" s="71"/>
      <c r="J329" s="71"/>
    </row>
    <row r="330" spans="6:10" ht="13" x14ac:dyDescent="0.15">
      <c r="F330" s="70"/>
      <c r="H330" s="71"/>
      <c r="I330" s="71"/>
      <c r="J330" s="71"/>
    </row>
    <row r="331" spans="6:10" ht="13" x14ac:dyDescent="0.15">
      <c r="F331" s="70"/>
      <c r="H331" s="71"/>
      <c r="I331" s="71"/>
      <c r="J331" s="71"/>
    </row>
    <row r="332" spans="6:10" ht="13" x14ac:dyDescent="0.15">
      <c r="F332" s="70"/>
      <c r="H332" s="71"/>
      <c r="I332" s="71"/>
      <c r="J332" s="71"/>
    </row>
    <row r="333" spans="6:10" ht="13" x14ac:dyDescent="0.15">
      <c r="F333" s="70"/>
      <c r="H333" s="71"/>
      <c r="I333" s="71"/>
      <c r="J333" s="71"/>
    </row>
    <row r="334" spans="6:10" ht="13" x14ac:dyDescent="0.15">
      <c r="F334" s="70"/>
      <c r="H334" s="71"/>
      <c r="I334" s="71"/>
      <c r="J334" s="71"/>
    </row>
    <row r="335" spans="6:10" ht="13" x14ac:dyDescent="0.15">
      <c r="F335" s="70"/>
      <c r="H335" s="71"/>
      <c r="I335" s="71"/>
      <c r="J335" s="71"/>
    </row>
    <row r="336" spans="6:10" ht="13" x14ac:dyDescent="0.15">
      <c r="F336" s="70"/>
      <c r="H336" s="71"/>
      <c r="I336" s="71"/>
      <c r="J336" s="71"/>
    </row>
    <row r="337" spans="6:10" ht="13" x14ac:dyDescent="0.15">
      <c r="F337" s="70"/>
      <c r="H337" s="71"/>
      <c r="I337" s="71"/>
      <c r="J337" s="71"/>
    </row>
    <row r="338" spans="6:10" ht="13" x14ac:dyDescent="0.15">
      <c r="F338" s="70"/>
      <c r="H338" s="71"/>
      <c r="I338" s="71"/>
      <c r="J338" s="71"/>
    </row>
    <row r="339" spans="6:10" ht="13" x14ac:dyDescent="0.15">
      <c r="F339" s="70"/>
      <c r="H339" s="71"/>
      <c r="I339" s="71"/>
      <c r="J339" s="71"/>
    </row>
    <row r="340" spans="6:10" ht="13" x14ac:dyDescent="0.15">
      <c r="F340" s="70"/>
      <c r="H340" s="71"/>
      <c r="I340" s="71"/>
      <c r="J340" s="71"/>
    </row>
    <row r="341" spans="6:10" ht="13" x14ac:dyDescent="0.15">
      <c r="F341" s="70"/>
      <c r="H341" s="71"/>
      <c r="I341" s="71"/>
      <c r="J341" s="71"/>
    </row>
    <row r="342" spans="6:10" ht="13" x14ac:dyDescent="0.15">
      <c r="F342" s="70"/>
      <c r="H342" s="71"/>
      <c r="I342" s="71"/>
      <c r="J342" s="71"/>
    </row>
    <row r="343" spans="6:10" ht="13" x14ac:dyDescent="0.15">
      <c r="F343" s="70"/>
      <c r="H343" s="71"/>
      <c r="I343" s="71"/>
      <c r="J343" s="71"/>
    </row>
    <row r="344" spans="6:10" ht="13" x14ac:dyDescent="0.15">
      <c r="F344" s="70"/>
      <c r="H344" s="71"/>
      <c r="I344" s="71"/>
      <c r="J344" s="71"/>
    </row>
    <row r="345" spans="6:10" ht="13" x14ac:dyDescent="0.15">
      <c r="F345" s="70"/>
      <c r="H345" s="71"/>
      <c r="I345" s="71"/>
      <c r="J345" s="71"/>
    </row>
    <row r="346" spans="6:10" ht="13" x14ac:dyDescent="0.15">
      <c r="F346" s="70"/>
      <c r="H346" s="71"/>
      <c r="I346" s="71"/>
      <c r="J346" s="71"/>
    </row>
    <row r="347" spans="6:10" ht="13" x14ac:dyDescent="0.15">
      <c r="F347" s="70"/>
      <c r="H347" s="71"/>
      <c r="I347" s="71"/>
      <c r="J347" s="71"/>
    </row>
    <row r="348" spans="6:10" ht="13" x14ac:dyDescent="0.15">
      <c r="F348" s="70"/>
      <c r="H348" s="71"/>
      <c r="I348" s="71"/>
      <c r="J348" s="71"/>
    </row>
    <row r="349" spans="6:10" ht="13" x14ac:dyDescent="0.15">
      <c r="F349" s="70"/>
      <c r="H349" s="71"/>
      <c r="I349" s="71"/>
      <c r="J349" s="71"/>
    </row>
    <row r="350" spans="6:10" ht="13" x14ac:dyDescent="0.15">
      <c r="F350" s="70"/>
      <c r="H350" s="71"/>
      <c r="I350" s="71"/>
      <c r="J350" s="71"/>
    </row>
    <row r="351" spans="6:10" ht="13" x14ac:dyDescent="0.15">
      <c r="F351" s="70"/>
      <c r="H351" s="71"/>
      <c r="I351" s="71"/>
      <c r="J351" s="71"/>
    </row>
    <row r="352" spans="6:10" ht="13" x14ac:dyDescent="0.15">
      <c r="F352" s="70"/>
      <c r="H352" s="71"/>
      <c r="I352" s="71"/>
      <c r="J352" s="71"/>
    </row>
    <row r="353" spans="6:10" ht="13" x14ac:dyDescent="0.15">
      <c r="F353" s="70"/>
      <c r="H353" s="71"/>
      <c r="I353" s="71"/>
      <c r="J353" s="71"/>
    </row>
    <row r="354" spans="6:10" ht="13" x14ac:dyDescent="0.15">
      <c r="F354" s="70"/>
      <c r="H354" s="71"/>
      <c r="I354" s="71"/>
      <c r="J354" s="71"/>
    </row>
    <row r="355" spans="6:10" ht="13" x14ac:dyDescent="0.15">
      <c r="F355" s="70"/>
      <c r="H355" s="71"/>
      <c r="I355" s="71"/>
      <c r="J355" s="71"/>
    </row>
    <row r="356" spans="6:10" ht="13" x14ac:dyDescent="0.15">
      <c r="F356" s="70"/>
      <c r="H356" s="71"/>
      <c r="I356" s="71"/>
      <c r="J356" s="71"/>
    </row>
    <row r="357" spans="6:10" ht="13" x14ac:dyDescent="0.15">
      <c r="F357" s="70"/>
      <c r="H357" s="71"/>
      <c r="I357" s="71"/>
      <c r="J357" s="71"/>
    </row>
    <row r="358" spans="6:10" ht="13" x14ac:dyDescent="0.15">
      <c r="F358" s="70"/>
      <c r="H358" s="71"/>
      <c r="I358" s="71"/>
      <c r="J358" s="71"/>
    </row>
    <row r="359" spans="6:10" ht="13" x14ac:dyDescent="0.15">
      <c r="F359" s="70"/>
      <c r="H359" s="71"/>
      <c r="I359" s="71"/>
      <c r="J359" s="71"/>
    </row>
    <row r="360" spans="6:10" ht="13" x14ac:dyDescent="0.15">
      <c r="F360" s="70"/>
      <c r="H360" s="71"/>
      <c r="I360" s="71"/>
      <c r="J360" s="71"/>
    </row>
    <row r="361" spans="6:10" ht="13" x14ac:dyDescent="0.15">
      <c r="F361" s="70"/>
      <c r="H361" s="71"/>
      <c r="I361" s="71"/>
      <c r="J361" s="71"/>
    </row>
    <row r="362" spans="6:10" ht="13" x14ac:dyDescent="0.15">
      <c r="F362" s="70"/>
      <c r="H362" s="71"/>
      <c r="I362" s="71"/>
      <c r="J362" s="71"/>
    </row>
    <row r="363" spans="6:10" ht="13" x14ac:dyDescent="0.15">
      <c r="F363" s="70"/>
      <c r="H363" s="71"/>
      <c r="I363" s="71"/>
      <c r="J363" s="71"/>
    </row>
    <row r="364" spans="6:10" ht="13" x14ac:dyDescent="0.15">
      <c r="F364" s="70"/>
      <c r="H364" s="71"/>
      <c r="I364" s="71"/>
      <c r="J364" s="71"/>
    </row>
    <row r="365" spans="6:10" ht="13" x14ac:dyDescent="0.15">
      <c r="F365" s="70"/>
      <c r="H365" s="71"/>
      <c r="I365" s="71"/>
      <c r="J365" s="71"/>
    </row>
    <row r="366" spans="6:10" ht="13" x14ac:dyDescent="0.15">
      <c r="F366" s="70"/>
      <c r="H366" s="71"/>
      <c r="I366" s="71"/>
      <c r="J366" s="71"/>
    </row>
    <row r="367" spans="6:10" ht="13" x14ac:dyDescent="0.15">
      <c r="F367" s="70"/>
      <c r="H367" s="71"/>
      <c r="I367" s="71"/>
      <c r="J367" s="71"/>
    </row>
    <row r="368" spans="6:10" ht="13" x14ac:dyDescent="0.15">
      <c r="F368" s="70"/>
      <c r="H368" s="71"/>
      <c r="I368" s="71"/>
      <c r="J368" s="71"/>
    </row>
    <row r="369" spans="6:10" ht="13" x14ac:dyDescent="0.15">
      <c r="F369" s="70"/>
      <c r="H369" s="71"/>
      <c r="I369" s="71"/>
      <c r="J369" s="71"/>
    </row>
    <row r="370" spans="6:10" ht="13" x14ac:dyDescent="0.15">
      <c r="F370" s="70"/>
      <c r="H370" s="71"/>
      <c r="I370" s="71"/>
      <c r="J370" s="71"/>
    </row>
    <row r="371" spans="6:10" ht="13" x14ac:dyDescent="0.15">
      <c r="F371" s="70"/>
      <c r="H371" s="71"/>
      <c r="I371" s="71"/>
      <c r="J371" s="71"/>
    </row>
    <row r="372" spans="6:10" ht="13" x14ac:dyDescent="0.15">
      <c r="F372" s="70"/>
      <c r="H372" s="71"/>
      <c r="I372" s="71"/>
      <c r="J372" s="71"/>
    </row>
    <row r="373" spans="6:10" ht="13" x14ac:dyDescent="0.15">
      <c r="F373" s="70"/>
      <c r="H373" s="71"/>
      <c r="I373" s="71"/>
      <c r="J373" s="71"/>
    </row>
    <row r="374" spans="6:10" ht="13" x14ac:dyDescent="0.15">
      <c r="F374" s="70"/>
      <c r="H374" s="71"/>
      <c r="I374" s="71"/>
      <c r="J374" s="71"/>
    </row>
    <row r="375" spans="6:10" ht="13" x14ac:dyDescent="0.15">
      <c r="F375" s="70"/>
      <c r="H375" s="71"/>
      <c r="I375" s="71"/>
      <c r="J375" s="71"/>
    </row>
    <row r="376" spans="6:10" ht="13" x14ac:dyDescent="0.15">
      <c r="F376" s="70"/>
      <c r="H376" s="71"/>
      <c r="I376" s="71"/>
      <c r="J376" s="71"/>
    </row>
    <row r="377" spans="6:10" ht="13" x14ac:dyDescent="0.15">
      <c r="F377" s="70"/>
      <c r="H377" s="71"/>
      <c r="I377" s="71"/>
      <c r="J377" s="71"/>
    </row>
    <row r="378" spans="6:10" ht="13" x14ac:dyDescent="0.15">
      <c r="F378" s="70"/>
      <c r="H378" s="71"/>
      <c r="I378" s="71"/>
      <c r="J378" s="71"/>
    </row>
    <row r="379" spans="6:10" ht="13" x14ac:dyDescent="0.15">
      <c r="F379" s="70"/>
      <c r="H379" s="71"/>
      <c r="I379" s="71"/>
      <c r="J379" s="71"/>
    </row>
    <row r="380" spans="6:10" ht="13" x14ac:dyDescent="0.15">
      <c r="F380" s="70"/>
      <c r="H380" s="71"/>
      <c r="I380" s="71"/>
      <c r="J380" s="71"/>
    </row>
    <row r="381" spans="6:10" ht="13" x14ac:dyDescent="0.15">
      <c r="F381" s="70"/>
      <c r="H381" s="71"/>
      <c r="I381" s="71"/>
      <c r="J381" s="71"/>
    </row>
    <row r="382" spans="6:10" ht="13" x14ac:dyDescent="0.15">
      <c r="F382" s="70"/>
      <c r="H382" s="71"/>
      <c r="I382" s="71"/>
      <c r="J382" s="71"/>
    </row>
    <row r="383" spans="6:10" ht="13" x14ac:dyDescent="0.15">
      <c r="F383" s="70"/>
      <c r="H383" s="71"/>
      <c r="I383" s="71"/>
      <c r="J383" s="71"/>
    </row>
    <row r="384" spans="6:10" ht="13" x14ac:dyDescent="0.15">
      <c r="F384" s="70"/>
      <c r="H384" s="71"/>
      <c r="I384" s="71"/>
      <c r="J384" s="71"/>
    </row>
    <row r="385" spans="6:10" ht="13" x14ac:dyDescent="0.15">
      <c r="F385" s="70"/>
      <c r="H385" s="71"/>
      <c r="I385" s="71"/>
      <c r="J385" s="71"/>
    </row>
    <row r="386" spans="6:10" ht="13" x14ac:dyDescent="0.15">
      <c r="F386" s="70"/>
      <c r="H386" s="71"/>
      <c r="I386" s="71"/>
      <c r="J386" s="71"/>
    </row>
    <row r="387" spans="6:10" ht="13" x14ac:dyDescent="0.15">
      <c r="F387" s="70"/>
      <c r="H387" s="71"/>
      <c r="I387" s="71"/>
      <c r="J387" s="71"/>
    </row>
    <row r="388" spans="6:10" ht="13" x14ac:dyDescent="0.15">
      <c r="F388" s="70"/>
      <c r="H388" s="71"/>
      <c r="I388" s="71"/>
      <c r="J388" s="71"/>
    </row>
    <row r="389" spans="6:10" ht="13" x14ac:dyDescent="0.15">
      <c r="F389" s="70"/>
      <c r="H389" s="71"/>
      <c r="I389" s="71"/>
      <c r="J389" s="71"/>
    </row>
    <row r="390" spans="6:10" ht="13" x14ac:dyDescent="0.15">
      <c r="F390" s="70"/>
      <c r="H390" s="71"/>
      <c r="I390" s="71"/>
      <c r="J390" s="71"/>
    </row>
    <row r="391" spans="6:10" ht="13" x14ac:dyDescent="0.15">
      <c r="F391" s="70"/>
      <c r="H391" s="71"/>
      <c r="I391" s="71"/>
      <c r="J391" s="71"/>
    </row>
    <row r="392" spans="6:10" ht="13" x14ac:dyDescent="0.15">
      <c r="F392" s="70"/>
      <c r="H392" s="71"/>
      <c r="I392" s="71"/>
      <c r="J392" s="71"/>
    </row>
    <row r="393" spans="6:10" ht="13" x14ac:dyDescent="0.15">
      <c r="F393" s="70"/>
      <c r="H393" s="71"/>
      <c r="I393" s="71"/>
      <c r="J393" s="71"/>
    </row>
    <row r="394" spans="6:10" ht="13" x14ac:dyDescent="0.15">
      <c r="F394" s="70"/>
      <c r="H394" s="71"/>
      <c r="I394" s="71"/>
      <c r="J394" s="71"/>
    </row>
    <row r="395" spans="6:10" ht="13" x14ac:dyDescent="0.15">
      <c r="F395" s="70"/>
      <c r="H395" s="71"/>
      <c r="I395" s="71"/>
      <c r="J395" s="71"/>
    </row>
    <row r="396" spans="6:10" ht="13" x14ac:dyDescent="0.15">
      <c r="F396" s="70"/>
      <c r="H396" s="71"/>
      <c r="I396" s="71"/>
      <c r="J396" s="71"/>
    </row>
    <row r="397" spans="6:10" ht="13" x14ac:dyDescent="0.15">
      <c r="F397" s="70"/>
      <c r="H397" s="71"/>
      <c r="I397" s="71"/>
      <c r="J397" s="71"/>
    </row>
    <row r="398" spans="6:10" ht="13" x14ac:dyDescent="0.15">
      <c r="F398" s="70"/>
      <c r="H398" s="71"/>
      <c r="I398" s="71"/>
      <c r="J398" s="71"/>
    </row>
    <row r="399" spans="6:10" ht="13" x14ac:dyDescent="0.15">
      <c r="F399" s="70"/>
      <c r="H399" s="71"/>
      <c r="I399" s="71"/>
      <c r="J399" s="71"/>
    </row>
    <row r="400" spans="6:10" ht="13" x14ac:dyDescent="0.15">
      <c r="F400" s="70"/>
      <c r="H400" s="71"/>
      <c r="I400" s="71"/>
      <c r="J400" s="71"/>
    </row>
    <row r="401" spans="6:10" ht="13" x14ac:dyDescent="0.15">
      <c r="F401" s="70"/>
      <c r="H401" s="71"/>
      <c r="I401" s="71"/>
      <c r="J401" s="71"/>
    </row>
    <row r="402" spans="6:10" ht="13" x14ac:dyDescent="0.15">
      <c r="F402" s="70"/>
      <c r="H402" s="71"/>
      <c r="I402" s="71"/>
      <c r="J402" s="71"/>
    </row>
    <row r="403" spans="6:10" ht="13" x14ac:dyDescent="0.15">
      <c r="F403" s="70"/>
      <c r="H403" s="71"/>
      <c r="I403" s="71"/>
      <c r="J403" s="71"/>
    </row>
    <row r="404" spans="6:10" ht="13" x14ac:dyDescent="0.15">
      <c r="F404" s="70"/>
      <c r="H404" s="71"/>
      <c r="I404" s="71"/>
      <c r="J404" s="71"/>
    </row>
    <row r="405" spans="6:10" ht="13" x14ac:dyDescent="0.15">
      <c r="F405" s="70"/>
      <c r="H405" s="71"/>
      <c r="I405" s="71"/>
      <c r="J405" s="71"/>
    </row>
    <row r="406" spans="6:10" ht="13" x14ac:dyDescent="0.15">
      <c r="F406" s="70"/>
      <c r="H406" s="71"/>
      <c r="I406" s="71"/>
      <c r="J406" s="71"/>
    </row>
    <row r="407" spans="6:10" ht="13" x14ac:dyDescent="0.15">
      <c r="F407" s="70"/>
      <c r="H407" s="71"/>
      <c r="I407" s="71"/>
      <c r="J407" s="71"/>
    </row>
    <row r="408" spans="6:10" ht="13" x14ac:dyDescent="0.15">
      <c r="F408" s="70"/>
      <c r="H408" s="71"/>
      <c r="I408" s="71"/>
      <c r="J408" s="71"/>
    </row>
    <row r="409" spans="6:10" ht="13" x14ac:dyDescent="0.15">
      <c r="F409" s="70"/>
      <c r="H409" s="71"/>
      <c r="I409" s="71"/>
      <c r="J409" s="71"/>
    </row>
    <row r="410" spans="6:10" ht="13" x14ac:dyDescent="0.15">
      <c r="F410" s="70"/>
      <c r="H410" s="71"/>
      <c r="I410" s="71"/>
      <c r="J410" s="71"/>
    </row>
    <row r="411" spans="6:10" ht="13" x14ac:dyDescent="0.15">
      <c r="F411" s="70"/>
      <c r="H411" s="71"/>
      <c r="I411" s="71"/>
      <c r="J411" s="71"/>
    </row>
    <row r="412" spans="6:10" ht="13" x14ac:dyDescent="0.15">
      <c r="F412" s="70"/>
      <c r="H412" s="71"/>
      <c r="I412" s="71"/>
      <c r="J412" s="71"/>
    </row>
    <row r="413" spans="6:10" ht="13" x14ac:dyDescent="0.15">
      <c r="F413" s="70"/>
      <c r="H413" s="71"/>
      <c r="I413" s="71"/>
      <c r="J413" s="71"/>
    </row>
    <row r="414" spans="6:10" ht="13" x14ac:dyDescent="0.15">
      <c r="F414" s="70"/>
      <c r="H414" s="71"/>
      <c r="I414" s="71"/>
      <c r="J414" s="71"/>
    </row>
    <row r="415" spans="6:10" ht="13" x14ac:dyDescent="0.15">
      <c r="F415" s="70"/>
      <c r="H415" s="71"/>
      <c r="I415" s="71"/>
      <c r="J415" s="71"/>
    </row>
    <row r="416" spans="6:10" ht="13" x14ac:dyDescent="0.15">
      <c r="F416" s="70"/>
      <c r="H416" s="71"/>
      <c r="I416" s="71"/>
      <c r="J416" s="71"/>
    </row>
    <row r="417" spans="6:10" ht="13" x14ac:dyDescent="0.15">
      <c r="F417" s="70"/>
      <c r="H417" s="71"/>
      <c r="I417" s="71"/>
      <c r="J417" s="71"/>
    </row>
    <row r="418" spans="6:10" ht="13" x14ac:dyDescent="0.15">
      <c r="F418" s="70"/>
      <c r="H418" s="71"/>
      <c r="I418" s="71"/>
      <c r="J418" s="71"/>
    </row>
    <row r="419" spans="6:10" ht="13" x14ac:dyDescent="0.15">
      <c r="F419" s="70"/>
      <c r="H419" s="71"/>
      <c r="I419" s="71"/>
      <c r="J419" s="71"/>
    </row>
    <row r="420" spans="6:10" ht="13" x14ac:dyDescent="0.15">
      <c r="F420" s="70"/>
      <c r="H420" s="71"/>
      <c r="I420" s="71"/>
      <c r="J420" s="71"/>
    </row>
    <row r="421" spans="6:10" ht="13" x14ac:dyDescent="0.15">
      <c r="F421" s="70"/>
      <c r="H421" s="71"/>
      <c r="I421" s="71"/>
      <c r="J421" s="71"/>
    </row>
    <row r="422" spans="6:10" ht="13" x14ac:dyDescent="0.15">
      <c r="F422" s="70"/>
      <c r="H422" s="71"/>
      <c r="I422" s="71"/>
      <c r="J422" s="71"/>
    </row>
    <row r="423" spans="6:10" ht="13" x14ac:dyDescent="0.15">
      <c r="F423" s="70"/>
      <c r="H423" s="71"/>
      <c r="I423" s="71"/>
      <c r="J423" s="71"/>
    </row>
    <row r="424" spans="6:10" ht="13" x14ac:dyDescent="0.15">
      <c r="F424" s="70"/>
      <c r="H424" s="71"/>
      <c r="I424" s="71"/>
      <c r="J424" s="71"/>
    </row>
    <row r="425" spans="6:10" ht="13" x14ac:dyDescent="0.15">
      <c r="F425" s="70"/>
      <c r="H425" s="71"/>
      <c r="I425" s="71"/>
      <c r="J425" s="71"/>
    </row>
    <row r="426" spans="6:10" ht="13" x14ac:dyDescent="0.15">
      <c r="F426" s="70"/>
      <c r="H426" s="71"/>
      <c r="I426" s="71"/>
      <c r="J426" s="71"/>
    </row>
    <row r="427" spans="6:10" ht="13" x14ac:dyDescent="0.15">
      <c r="F427" s="70"/>
      <c r="H427" s="71"/>
      <c r="I427" s="71"/>
      <c r="J427" s="71"/>
    </row>
    <row r="428" spans="6:10" ht="13" x14ac:dyDescent="0.15">
      <c r="F428" s="70"/>
      <c r="H428" s="71"/>
      <c r="I428" s="71"/>
      <c r="J428" s="71"/>
    </row>
    <row r="429" spans="6:10" ht="13" x14ac:dyDescent="0.15">
      <c r="F429" s="70"/>
      <c r="H429" s="71"/>
      <c r="I429" s="71"/>
      <c r="J429" s="71"/>
    </row>
    <row r="430" spans="6:10" ht="13" x14ac:dyDescent="0.15">
      <c r="F430" s="70"/>
      <c r="H430" s="71"/>
      <c r="I430" s="71"/>
      <c r="J430" s="71"/>
    </row>
    <row r="431" spans="6:10" ht="13" x14ac:dyDescent="0.15">
      <c r="F431" s="70"/>
      <c r="H431" s="71"/>
      <c r="I431" s="71"/>
      <c r="J431" s="71"/>
    </row>
    <row r="432" spans="6:10" ht="13" x14ac:dyDescent="0.15">
      <c r="F432" s="70"/>
      <c r="H432" s="71"/>
      <c r="I432" s="71"/>
      <c r="J432" s="71"/>
    </row>
    <row r="433" spans="6:10" ht="13" x14ac:dyDescent="0.15">
      <c r="F433" s="70"/>
      <c r="H433" s="71"/>
      <c r="I433" s="71"/>
      <c r="J433" s="71"/>
    </row>
    <row r="434" spans="6:10" ht="13" x14ac:dyDescent="0.15">
      <c r="F434" s="70"/>
      <c r="H434" s="71"/>
      <c r="I434" s="71"/>
      <c r="J434" s="71"/>
    </row>
    <row r="435" spans="6:10" ht="13" x14ac:dyDescent="0.15">
      <c r="F435" s="70"/>
      <c r="H435" s="71"/>
      <c r="I435" s="71"/>
      <c r="J435" s="71"/>
    </row>
    <row r="436" spans="6:10" ht="13" x14ac:dyDescent="0.15">
      <c r="F436" s="70"/>
      <c r="H436" s="71"/>
      <c r="I436" s="71"/>
      <c r="J436" s="71"/>
    </row>
    <row r="437" spans="6:10" ht="13" x14ac:dyDescent="0.15">
      <c r="F437" s="70"/>
      <c r="H437" s="71"/>
      <c r="I437" s="71"/>
      <c r="J437" s="71"/>
    </row>
    <row r="438" spans="6:10" ht="13" x14ac:dyDescent="0.15">
      <c r="F438" s="70"/>
      <c r="H438" s="71"/>
      <c r="I438" s="71"/>
      <c r="J438" s="71"/>
    </row>
    <row r="439" spans="6:10" ht="13" x14ac:dyDescent="0.15">
      <c r="F439" s="70"/>
      <c r="H439" s="71"/>
      <c r="I439" s="71"/>
      <c r="J439" s="71"/>
    </row>
    <row r="440" spans="6:10" ht="13" x14ac:dyDescent="0.15">
      <c r="F440" s="70"/>
      <c r="H440" s="71"/>
      <c r="I440" s="71"/>
      <c r="J440" s="71"/>
    </row>
    <row r="441" spans="6:10" ht="13" x14ac:dyDescent="0.15">
      <c r="F441" s="70"/>
      <c r="H441" s="71"/>
      <c r="I441" s="71"/>
      <c r="J441" s="71"/>
    </row>
    <row r="442" spans="6:10" ht="13" x14ac:dyDescent="0.15">
      <c r="F442" s="70"/>
      <c r="H442" s="71"/>
      <c r="I442" s="71"/>
      <c r="J442" s="71"/>
    </row>
    <row r="443" spans="6:10" ht="13" x14ac:dyDescent="0.15">
      <c r="F443" s="70"/>
      <c r="H443" s="71"/>
      <c r="I443" s="71"/>
      <c r="J443" s="71"/>
    </row>
    <row r="444" spans="6:10" ht="13" x14ac:dyDescent="0.15">
      <c r="F444" s="70"/>
      <c r="H444" s="71"/>
      <c r="I444" s="71"/>
      <c r="J444" s="71"/>
    </row>
    <row r="445" spans="6:10" ht="13" x14ac:dyDescent="0.15">
      <c r="F445" s="70"/>
      <c r="H445" s="71"/>
      <c r="I445" s="71"/>
      <c r="J445" s="71"/>
    </row>
    <row r="446" spans="6:10" ht="13" x14ac:dyDescent="0.15">
      <c r="F446" s="70"/>
      <c r="H446" s="71"/>
      <c r="I446" s="71"/>
      <c r="J446" s="71"/>
    </row>
    <row r="447" spans="6:10" ht="13" x14ac:dyDescent="0.15">
      <c r="F447" s="70"/>
      <c r="H447" s="71"/>
      <c r="I447" s="71"/>
      <c r="J447" s="71"/>
    </row>
    <row r="448" spans="6:10" ht="13" x14ac:dyDescent="0.15">
      <c r="F448" s="70"/>
      <c r="H448" s="71"/>
      <c r="I448" s="71"/>
      <c r="J448" s="71"/>
    </row>
    <row r="449" spans="6:10" ht="13" x14ac:dyDescent="0.15">
      <c r="F449" s="70"/>
      <c r="H449" s="71"/>
      <c r="I449" s="71"/>
      <c r="J449" s="71"/>
    </row>
    <row r="450" spans="6:10" ht="13" x14ac:dyDescent="0.15">
      <c r="F450" s="70"/>
      <c r="H450" s="71"/>
      <c r="I450" s="71"/>
      <c r="J450" s="71"/>
    </row>
    <row r="451" spans="6:10" ht="13" x14ac:dyDescent="0.15">
      <c r="F451" s="70"/>
      <c r="H451" s="71"/>
      <c r="I451" s="71"/>
      <c r="J451" s="71"/>
    </row>
    <row r="452" spans="6:10" ht="13" x14ac:dyDescent="0.15">
      <c r="F452" s="70"/>
      <c r="H452" s="71"/>
      <c r="I452" s="71"/>
      <c r="J452" s="71"/>
    </row>
    <row r="453" spans="6:10" ht="13" x14ac:dyDescent="0.15">
      <c r="F453" s="70"/>
      <c r="H453" s="71"/>
      <c r="I453" s="71"/>
      <c r="J453" s="71"/>
    </row>
    <row r="454" spans="6:10" ht="13" x14ac:dyDescent="0.15">
      <c r="F454" s="70"/>
      <c r="H454" s="71"/>
      <c r="I454" s="71"/>
      <c r="J454" s="71"/>
    </row>
    <row r="455" spans="6:10" ht="13" x14ac:dyDescent="0.15">
      <c r="F455" s="70"/>
      <c r="H455" s="71"/>
      <c r="I455" s="71"/>
      <c r="J455" s="71"/>
    </row>
    <row r="456" spans="6:10" ht="13" x14ac:dyDescent="0.15">
      <c r="F456" s="70"/>
      <c r="H456" s="71"/>
      <c r="I456" s="71"/>
      <c r="J456" s="71"/>
    </row>
    <row r="457" spans="6:10" ht="13" x14ac:dyDescent="0.15">
      <c r="F457" s="70"/>
      <c r="H457" s="71"/>
      <c r="I457" s="71"/>
      <c r="J457" s="71"/>
    </row>
    <row r="458" spans="6:10" ht="13" x14ac:dyDescent="0.15">
      <c r="F458" s="70"/>
      <c r="H458" s="71"/>
      <c r="I458" s="71"/>
      <c r="J458" s="71"/>
    </row>
    <row r="459" spans="6:10" ht="13" x14ac:dyDescent="0.15">
      <c r="F459" s="70"/>
      <c r="H459" s="71"/>
      <c r="I459" s="71"/>
      <c r="J459" s="71"/>
    </row>
    <row r="460" spans="6:10" ht="13" x14ac:dyDescent="0.15">
      <c r="F460" s="70"/>
      <c r="H460" s="71"/>
      <c r="I460" s="71"/>
      <c r="J460" s="71"/>
    </row>
    <row r="461" spans="6:10" ht="13" x14ac:dyDescent="0.15">
      <c r="F461" s="70"/>
      <c r="H461" s="71"/>
      <c r="I461" s="71"/>
      <c r="J461" s="71"/>
    </row>
    <row r="462" spans="6:10" ht="13" x14ac:dyDescent="0.15">
      <c r="F462" s="70"/>
      <c r="H462" s="71"/>
      <c r="I462" s="71"/>
      <c r="J462" s="71"/>
    </row>
    <row r="463" spans="6:10" ht="13" x14ac:dyDescent="0.15">
      <c r="F463" s="70"/>
      <c r="H463" s="71"/>
      <c r="I463" s="71"/>
      <c r="J463" s="71"/>
    </row>
    <row r="464" spans="6:10" ht="13" x14ac:dyDescent="0.15">
      <c r="F464" s="70"/>
      <c r="H464" s="71"/>
      <c r="I464" s="71"/>
      <c r="J464" s="71"/>
    </row>
    <row r="465" spans="6:10" ht="13" x14ac:dyDescent="0.15">
      <c r="F465" s="70"/>
      <c r="H465" s="71"/>
      <c r="I465" s="71"/>
      <c r="J465" s="71"/>
    </row>
    <row r="466" spans="6:10" ht="13" x14ac:dyDescent="0.15">
      <c r="F466" s="70"/>
      <c r="H466" s="71"/>
      <c r="I466" s="71"/>
      <c r="J466" s="71"/>
    </row>
    <row r="467" spans="6:10" ht="13" x14ac:dyDescent="0.15">
      <c r="F467" s="70"/>
      <c r="H467" s="71"/>
      <c r="I467" s="71"/>
      <c r="J467" s="71"/>
    </row>
    <row r="468" spans="6:10" ht="13" x14ac:dyDescent="0.15">
      <c r="F468" s="70"/>
      <c r="H468" s="71"/>
      <c r="I468" s="71"/>
      <c r="J468" s="71"/>
    </row>
    <row r="469" spans="6:10" ht="13" x14ac:dyDescent="0.15">
      <c r="F469" s="70"/>
      <c r="H469" s="71"/>
      <c r="I469" s="71"/>
      <c r="J469" s="71"/>
    </row>
    <row r="470" spans="6:10" ht="13" x14ac:dyDescent="0.15">
      <c r="F470" s="70"/>
      <c r="H470" s="71"/>
      <c r="I470" s="71"/>
      <c r="J470" s="71"/>
    </row>
    <row r="471" spans="6:10" ht="13" x14ac:dyDescent="0.15">
      <c r="F471" s="70"/>
      <c r="H471" s="71"/>
      <c r="I471" s="71"/>
      <c r="J471" s="71"/>
    </row>
    <row r="472" spans="6:10" ht="13" x14ac:dyDescent="0.15">
      <c r="F472" s="70"/>
      <c r="H472" s="71"/>
      <c r="I472" s="71"/>
      <c r="J472" s="71"/>
    </row>
    <row r="473" spans="6:10" ht="13" x14ac:dyDescent="0.15">
      <c r="F473" s="70"/>
      <c r="H473" s="71"/>
      <c r="I473" s="71"/>
      <c r="J473" s="71"/>
    </row>
    <row r="474" spans="6:10" ht="13" x14ac:dyDescent="0.15">
      <c r="F474" s="70"/>
      <c r="H474" s="71"/>
      <c r="I474" s="71"/>
      <c r="J474" s="71"/>
    </row>
    <row r="475" spans="6:10" ht="13" x14ac:dyDescent="0.15">
      <c r="F475" s="70"/>
      <c r="H475" s="71"/>
      <c r="I475" s="71"/>
      <c r="J475" s="71"/>
    </row>
    <row r="476" spans="6:10" ht="13" x14ac:dyDescent="0.15">
      <c r="F476" s="70"/>
      <c r="H476" s="71"/>
      <c r="I476" s="71"/>
      <c r="J476" s="71"/>
    </row>
    <row r="477" spans="6:10" ht="13" x14ac:dyDescent="0.15">
      <c r="F477" s="70"/>
      <c r="H477" s="71"/>
      <c r="I477" s="71"/>
      <c r="J477" s="71"/>
    </row>
    <row r="478" spans="6:10" ht="13" x14ac:dyDescent="0.15">
      <c r="F478" s="70"/>
      <c r="H478" s="71"/>
      <c r="I478" s="71"/>
      <c r="J478" s="71"/>
    </row>
    <row r="479" spans="6:10" ht="13" x14ac:dyDescent="0.15">
      <c r="F479" s="70"/>
      <c r="H479" s="71"/>
      <c r="I479" s="71"/>
      <c r="J479" s="71"/>
    </row>
    <row r="480" spans="6:10" ht="13" x14ac:dyDescent="0.15">
      <c r="F480" s="70"/>
      <c r="H480" s="71"/>
      <c r="I480" s="71"/>
      <c r="J480" s="71"/>
    </row>
    <row r="481" spans="6:10" ht="13" x14ac:dyDescent="0.15">
      <c r="F481" s="70"/>
      <c r="H481" s="71"/>
      <c r="I481" s="71"/>
      <c r="J481" s="71"/>
    </row>
    <row r="482" spans="6:10" ht="13" x14ac:dyDescent="0.15">
      <c r="F482" s="70"/>
      <c r="H482" s="71"/>
      <c r="I482" s="71"/>
      <c r="J482" s="71"/>
    </row>
    <row r="483" spans="6:10" ht="13" x14ac:dyDescent="0.15">
      <c r="F483" s="70"/>
      <c r="H483" s="71"/>
      <c r="I483" s="71"/>
      <c r="J483" s="71"/>
    </row>
    <row r="484" spans="6:10" ht="13" x14ac:dyDescent="0.15">
      <c r="F484" s="70"/>
      <c r="H484" s="71"/>
      <c r="I484" s="71"/>
      <c r="J484" s="71"/>
    </row>
    <row r="485" spans="6:10" ht="13" x14ac:dyDescent="0.15">
      <c r="F485" s="70"/>
      <c r="H485" s="71"/>
      <c r="I485" s="71"/>
      <c r="J485" s="71"/>
    </row>
    <row r="486" spans="6:10" ht="13" x14ac:dyDescent="0.15">
      <c r="F486" s="70"/>
      <c r="H486" s="71"/>
      <c r="I486" s="71"/>
      <c r="J486" s="71"/>
    </row>
    <row r="487" spans="6:10" ht="13" x14ac:dyDescent="0.15">
      <c r="F487" s="70"/>
      <c r="H487" s="71"/>
      <c r="I487" s="71"/>
      <c r="J487" s="71"/>
    </row>
    <row r="488" spans="6:10" ht="13" x14ac:dyDescent="0.15">
      <c r="F488" s="70"/>
      <c r="H488" s="71"/>
      <c r="I488" s="71"/>
      <c r="J488" s="71"/>
    </row>
    <row r="489" spans="6:10" ht="13" x14ac:dyDescent="0.15">
      <c r="F489" s="70"/>
      <c r="H489" s="71"/>
      <c r="I489" s="71"/>
      <c r="J489" s="71"/>
    </row>
    <row r="490" spans="6:10" ht="13" x14ac:dyDescent="0.15">
      <c r="F490" s="70"/>
      <c r="H490" s="71"/>
      <c r="I490" s="71"/>
      <c r="J490" s="71"/>
    </row>
    <row r="491" spans="6:10" ht="13" x14ac:dyDescent="0.15">
      <c r="F491" s="70"/>
      <c r="H491" s="71"/>
      <c r="I491" s="71"/>
      <c r="J491" s="71"/>
    </row>
    <row r="492" spans="6:10" ht="13" x14ac:dyDescent="0.15">
      <c r="F492" s="70"/>
      <c r="H492" s="71"/>
      <c r="I492" s="71"/>
      <c r="J492" s="71"/>
    </row>
    <row r="493" spans="6:10" ht="13" x14ac:dyDescent="0.15">
      <c r="F493" s="70"/>
      <c r="H493" s="71"/>
      <c r="I493" s="71"/>
      <c r="J493" s="71"/>
    </row>
    <row r="494" spans="6:10" ht="13" x14ac:dyDescent="0.15">
      <c r="F494" s="70"/>
      <c r="H494" s="71"/>
      <c r="I494" s="71"/>
      <c r="J494" s="71"/>
    </row>
    <row r="495" spans="6:10" ht="13" x14ac:dyDescent="0.15">
      <c r="F495" s="70"/>
      <c r="H495" s="71"/>
      <c r="I495" s="71"/>
      <c r="J495" s="71"/>
    </row>
    <row r="496" spans="6:10" ht="13" x14ac:dyDescent="0.15">
      <c r="F496" s="70"/>
      <c r="H496" s="71"/>
      <c r="I496" s="71"/>
      <c r="J496" s="71"/>
    </row>
    <row r="497" spans="6:10" ht="13" x14ac:dyDescent="0.15">
      <c r="F497" s="70"/>
      <c r="H497" s="71"/>
      <c r="I497" s="71"/>
      <c r="J497" s="71"/>
    </row>
    <row r="498" spans="6:10" ht="13" x14ac:dyDescent="0.15">
      <c r="F498" s="70"/>
      <c r="H498" s="71"/>
      <c r="I498" s="71"/>
      <c r="J498" s="71"/>
    </row>
    <row r="499" spans="6:10" ht="13" x14ac:dyDescent="0.15">
      <c r="F499" s="70"/>
      <c r="H499" s="71"/>
      <c r="I499" s="71"/>
      <c r="J499" s="71"/>
    </row>
    <row r="500" spans="6:10" ht="13" x14ac:dyDescent="0.15">
      <c r="F500" s="70"/>
      <c r="H500" s="71"/>
      <c r="I500" s="71"/>
      <c r="J500" s="71"/>
    </row>
    <row r="501" spans="6:10" ht="13" x14ac:dyDescent="0.15">
      <c r="F501" s="70"/>
      <c r="H501" s="71"/>
      <c r="I501" s="71"/>
      <c r="J501" s="71"/>
    </row>
    <row r="502" spans="6:10" ht="13" x14ac:dyDescent="0.15">
      <c r="F502" s="70"/>
      <c r="H502" s="71"/>
      <c r="I502" s="71"/>
      <c r="J502" s="71"/>
    </row>
    <row r="503" spans="6:10" ht="13" x14ac:dyDescent="0.15">
      <c r="F503" s="70"/>
      <c r="H503" s="71"/>
      <c r="I503" s="71"/>
      <c r="J503" s="71"/>
    </row>
    <row r="504" spans="6:10" ht="13" x14ac:dyDescent="0.15">
      <c r="F504" s="70"/>
      <c r="H504" s="71"/>
      <c r="I504" s="71"/>
      <c r="J504" s="71"/>
    </row>
    <row r="505" spans="6:10" ht="13" x14ac:dyDescent="0.15">
      <c r="F505" s="70"/>
      <c r="H505" s="71"/>
      <c r="I505" s="71"/>
      <c r="J505" s="71"/>
    </row>
    <row r="506" spans="6:10" ht="13" x14ac:dyDescent="0.15">
      <c r="F506" s="70"/>
      <c r="H506" s="71"/>
      <c r="I506" s="71"/>
      <c r="J506" s="71"/>
    </row>
    <row r="507" spans="6:10" ht="13" x14ac:dyDescent="0.15">
      <c r="F507" s="70"/>
      <c r="H507" s="71"/>
      <c r="I507" s="71"/>
      <c r="J507" s="71"/>
    </row>
    <row r="508" spans="6:10" ht="13" x14ac:dyDescent="0.15">
      <c r="F508" s="70"/>
      <c r="H508" s="71"/>
      <c r="I508" s="71"/>
      <c r="J508" s="71"/>
    </row>
    <row r="509" spans="6:10" ht="13" x14ac:dyDescent="0.15">
      <c r="F509" s="70"/>
      <c r="H509" s="71"/>
      <c r="I509" s="71"/>
      <c r="J509" s="71"/>
    </row>
    <row r="510" spans="6:10" ht="13" x14ac:dyDescent="0.15">
      <c r="F510" s="70"/>
      <c r="H510" s="71"/>
      <c r="I510" s="71"/>
      <c r="J510" s="71"/>
    </row>
    <row r="511" spans="6:10" ht="13" x14ac:dyDescent="0.15">
      <c r="F511" s="70"/>
      <c r="H511" s="71"/>
      <c r="I511" s="71"/>
      <c r="J511" s="71"/>
    </row>
    <row r="512" spans="6:10" ht="13" x14ac:dyDescent="0.15">
      <c r="F512" s="70"/>
      <c r="H512" s="71"/>
      <c r="I512" s="71"/>
      <c r="J512" s="71"/>
    </row>
    <row r="513" spans="6:10" ht="13" x14ac:dyDescent="0.15">
      <c r="F513" s="70"/>
      <c r="H513" s="71"/>
      <c r="I513" s="71"/>
      <c r="J513" s="71"/>
    </row>
    <row r="514" spans="6:10" ht="13" x14ac:dyDescent="0.15">
      <c r="F514" s="70"/>
      <c r="H514" s="71"/>
      <c r="I514" s="71"/>
      <c r="J514" s="71"/>
    </row>
    <row r="515" spans="6:10" ht="13" x14ac:dyDescent="0.15">
      <c r="F515" s="70"/>
      <c r="H515" s="71"/>
      <c r="I515" s="71"/>
      <c r="J515" s="71"/>
    </row>
    <row r="516" spans="6:10" ht="13" x14ac:dyDescent="0.15">
      <c r="F516" s="70"/>
      <c r="H516" s="71"/>
      <c r="I516" s="71"/>
      <c r="J516" s="71"/>
    </row>
    <row r="517" spans="6:10" ht="13" x14ac:dyDescent="0.15">
      <c r="F517" s="70"/>
      <c r="H517" s="71"/>
      <c r="I517" s="71"/>
      <c r="J517" s="71"/>
    </row>
    <row r="518" spans="6:10" ht="13" x14ac:dyDescent="0.15">
      <c r="F518" s="70"/>
      <c r="H518" s="71"/>
      <c r="I518" s="71"/>
      <c r="J518" s="71"/>
    </row>
    <row r="519" spans="6:10" ht="13" x14ac:dyDescent="0.15">
      <c r="F519" s="70"/>
      <c r="H519" s="71"/>
      <c r="I519" s="71"/>
      <c r="J519" s="71"/>
    </row>
    <row r="520" spans="6:10" ht="13" x14ac:dyDescent="0.15">
      <c r="F520" s="70"/>
      <c r="H520" s="71"/>
      <c r="I520" s="71"/>
      <c r="J520" s="71"/>
    </row>
    <row r="521" spans="6:10" ht="13" x14ac:dyDescent="0.15">
      <c r="F521" s="70"/>
      <c r="H521" s="71"/>
      <c r="I521" s="71"/>
      <c r="J521" s="71"/>
    </row>
    <row r="522" spans="6:10" ht="13" x14ac:dyDescent="0.15">
      <c r="F522" s="70"/>
      <c r="H522" s="71"/>
      <c r="I522" s="71"/>
      <c r="J522" s="71"/>
    </row>
    <row r="523" spans="6:10" ht="13" x14ac:dyDescent="0.15">
      <c r="F523" s="70"/>
      <c r="H523" s="71"/>
      <c r="I523" s="71"/>
      <c r="J523" s="71"/>
    </row>
    <row r="524" spans="6:10" ht="13" x14ac:dyDescent="0.15">
      <c r="F524" s="70"/>
      <c r="H524" s="71"/>
      <c r="I524" s="71"/>
      <c r="J524" s="71"/>
    </row>
    <row r="525" spans="6:10" ht="13" x14ac:dyDescent="0.15">
      <c r="F525" s="70"/>
      <c r="H525" s="71"/>
      <c r="I525" s="71"/>
      <c r="J525" s="71"/>
    </row>
    <row r="526" spans="6:10" ht="13" x14ac:dyDescent="0.15">
      <c r="F526" s="70"/>
      <c r="H526" s="71"/>
      <c r="I526" s="71"/>
      <c r="J526" s="71"/>
    </row>
    <row r="527" spans="6:10" ht="13" x14ac:dyDescent="0.15">
      <c r="F527" s="70"/>
      <c r="H527" s="71"/>
      <c r="I527" s="71"/>
      <c r="J527" s="71"/>
    </row>
    <row r="528" spans="6:10" ht="13" x14ac:dyDescent="0.15">
      <c r="F528" s="70"/>
      <c r="H528" s="71"/>
      <c r="I528" s="71"/>
      <c r="J528" s="71"/>
    </row>
    <row r="529" spans="6:10" ht="13" x14ac:dyDescent="0.15">
      <c r="F529" s="70"/>
      <c r="H529" s="71"/>
      <c r="I529" s="71"/>
      <c r="J529" s="71"/>
    </row>
    <row r="530" spans="6:10" ht="13" x14ac:dyDescent="0.15">
      <c r="F530" s="70"/>
      <c r="H530" s="71"/>
      <c r="I530" s="71"/>
      <c r="J530" s="71"/>
    </row>
    <row r="531" spans="6:10" ht="13" x14ac:dyDescent="0.15">
      <c r="F531" s="70"/>
      <c r="H531" s="71"/>
      <c r="I531" s="71"/>
      <c r="J531" s="71"/>
    </row>
    <row r="532" spans="6:10" ht="13" x14ac:dyDescent="0.15">
      <c r="F532" s="70"/>
      <c r="H532" s="71"/>
      <c r="I532" s="71"/>
      <c r="J532" s="71"/>
    </row>
    <row r="533" spans="6:10" ht="13" x14ac:dyDescent="0.15">
      <c r="F533" s="70"/>
      <c r="H533" s="71"/>
      <c r="I533" s="71"/>
      <c r="J533" s="71"/>
    </row>
    <row r="534" spans="6:10" ht="13" x14ac:dyDescent="0.15">
      <c r="F534" s="70"/>
      <c r="H534" s="71"/>
      <c r="I534" s="71"/>
      <c r="J534" s="71"/>
    </row>
    <row r="535" spans="6:10" ht="13" x14ac:dyDescent="0.15">
      <c r="F535" s="70"/>
      <c r="H535" s="71"/>
      <c r="I535" s="71"/>
      <c r="J535" s="71"/>
    </row>
    <row r="536" spans="6:10" ht="13" x14ac:dyDescent="0.15">
      <c r="F536" s="70"/>
      <c r="H536" s="71"/>
      <c r="I536" s="71"/>
      <c r="J536" s="71"/>
    </row>
    <row r="537" spans="6:10" ht="13" x14ac:dyDescent="0.15">
      <c r="F537" s="70"/>
      <c r="H537" s="71"/>
      <c r="I537" s="71"/>
      <c r="J537" s="71"/>
    </row>
    <row r="538" spans="6:10" ht="13" x14ac:dyDescent="0.15">
      <c r="F538" s="70"/>
      <c r="H538" s="71"/>
      <c r="I538" s="71"/>
      <c r="J538" s="71"/>
    </row>
    <row r="539" spans="6:10" ht="13" x14ac:dyDescent="0.15">
      <c r="F539" s="70"/>
      <c r="H539" s="71"/>
      <c r="I539" s="71"/>
      <c r="J539" s="71"/>
    </row>
    <row r="540" spans="6:10" ht="13" x14ac:dyDescent="0.15">
      <c r="F540" s="70"/>
      <c r="H540" s="71"/>
      <c r="I540" s="71"/>
      <c r="J540" s="71"/>
    </row>
    <row r="541" spans="6:10" ht="13" x14ac:dyDescent="0.15">
      <c r="F541" s="70"/>
      <c r="H541" s="71"/>
      <c r="I541" s="71"/>
      <c r="J541" s="71"/>
    </row>
    <row r="542" spans="6:10" ht="13" x14ac:dyDescent="0.15">
      <c r="F542" s="70"/>
      <c r="H542" s="71"/>
      <c r="I542" s="71"/>
      <c r="J542" s="71"/>
    </row>
    <row r="543" spans="6:10" ht="13" x14ac:dyDescent="0.15">
      <c r="F543" s="70"/>
      <c r="H543" s="71"/>
      <c r="I543" s="71"/>
      <c r="J543" s="71"/>
    </row>
    <row r="544" spans="6:10" ht="13" x14ac:dyDescent="0.15">
      <c r="F544" s="70"/>
      <c r="H544" s="71"/>
      <c r="I544" s="71"/>
      <c r="J544" s="71"/>
    </row>
    <row r="545" spans="6:10" ht="13" x14ac:dyDescent="0.15">
      <c r="F545" s="70"/>
      <c r="H545" s="71"/>
      <c r="I545" s="71"/>
      <c r="J545" s="71"/>
    </row>
    <row r="546" spans="6:10" ht="13" x14ac:dyDescent="0.15">
      <c r="F546" s="70"/>
      <c r="H546" s="71"/>
      <c r="I546" s="71"/>
      <c r="J546" s="71"/>
    </row>
    <row r="547" spans="6:10" ht="13" x14ac:dyDescent="0.15">
      <c r="F547" s="70"/>
      <c r="H547" s="71"/>
      <c r="I547" s="71"/>
      <c r="J547" s="71"/>
    </row>
    <row r="548" spans="6:10" ht="13" x14ac:dyDescent="0.15">
      <c r="F548" s="70"/>
      <c r="H548" s="71"/>
      <c r="I548" s="71"/>
      <c r="J548" s="71"/>
    </row>
    <row r="549" spans="6:10" ht="13" x14ac:dyDescent="0.15">
      <c r="F549" s="70"/>
      <c r="H549" s="71"/>
      <c r="I549" s="71"/>
      <c r="J549" s="71"/>
    </row>
    <row r="550" spans="6:10" ht="13" x14ac:dyDescent="0.15">
      <c r="F550" s="70"/>
      <c r="H550" s="71"/>
      <c r="I550" s="71"/>
      <c r="J550" s="71"/>
    </row>
    <row r="551" spans="6:10" ht="13" x14ac:dyDescent="0.15">
      <c r="F551" s="70"/>
      <c r="H551" s="71"/>
      <c r="I551" s="71"/>
      <c r="J551" s="71"/>
    </row>
    <row r="552" spans="6:10" ht="13" x14ac:dyDescent="0.15">
      <c r="F552" s="70"/>
      <c r="H552" s="71"/>
      <c r="I552" s="71"/>
      <c r="J552" s="71"/>
    </row>
    <row r="553" spans="6:10" ht="13" x14ac:dyDescent="0.15">
      <c r="F553" s="70"/>
      <c r="H553" s="71"/>
      <c r="I553" s="71"/>
      <c r="J553" s="71"/>
    </row>
    <row r="554" spans="6:10" ht="13" x14ac:dyDescent="0.15">
      <c r="F554" s="70"/>
      <c r="H554" s="71"/>
      <c r="I554" s="71"/>
      <c r="J554" s="71"/>
    </row>
    <row r="555" spans="6:10" ht="13" x14ac:dyDescent="0.15">
      <c r="F555" s="70"/>
      <c r="H555" s="71"/>
      <c r="I555" s="71"/>
      <c r="J555" s="71"/>
    </row>
    <row r="556" spans="6:10" ht="13" x14ac:dyDescent="0.15">
      <c r="F556" s="70"/>
      <c r="H556" s="71"/>
      <c r="I556" s="71"/>
      <c r="J556" s="71"/>
    </row>
    <row r="557" spans="6:10" ht="13" x14ac:dyDescent="0.15">
      <c r="F557" s="70"/>
      <c r="H557" s="71"/>
      <c r="I557" s="71"/>
      <c r="J557" s="71"/>
    </row>
    <row r="558" spans="6:10" ht="13" x14ac:dyDescent="0.15">
      <c r="F558" s="70"/>
      <c r="H558" s="71"/>
      <c r="I558" s="71"/>
      <c r="J558" s="71"/>
    </row>
    <row r="559" spans="6:10" ht="13" x14ac:dyDescent="0.15">
      <c r="F559" s="70"/>
      <c r="H559" s="71"/>
      <c r="I559" s="71"/>
      <c r="J559" s="71"/>
    </row>
    <row r="560" spans="6:10" ht="13" x14ac:dyDescent="0.15">
      <c r="F560" s="70"/>
      <c r="H560" s="71"/>
      <c r="I560" s="71"/>
      <c r="J560" s="71"/>
    </row>
    <row r="561" spans="6:10" ht="13" x14ac:dyDescent="0.15">
      <c r="F561" s="70"/>
      <c r="H561" s="71"/>
      <c r="I561" s="71"/>
      <c r="J561" s="71"/>
    </row>
    <row r="562" spans="6:10" ht="13" x14ac:dyDescent="0.15">
      <c r="F562" s="70"/>
      <c r="H562" s="71"/>
      <c r="I562" s="71"/>
      <c r="J562" s="71"/>
    </row>
    <row r="563" spans="6:10" ht="13" x14ac:dyDescent="0.15">
      <c r="F563" s="70"/>
      <c r="H563" s="71"/>
      <c r="I563" s="71"/>
      <c r="J563" s="71"/>
    </row>
    <row r="564" spans="6:10" ht="13" x14ac:dyDescent="0.15">
      <c r="F564" s="70"/>
      <c r="H564" s="71"/>
      <c r="I564" s="71"/>
      <c r="J564" s="71"/>
    </row>
    <row r="565" spans="6:10" ht="13" x14ac:dyDescent="0.15">
      <c r="F565" s="70"/>
      <c r="H565" s="71"/>
      <c r="I565" s="71"/>
      <c r="J565" s="71"/>
    </row>
    <row r="566" spans="6:10" ht="13" x14ac:dyDescent="0.15">
      <c r="F566" s="70"/>
      <c r="H566" s="71"/>
      <c r="I566" s="71"/>
      <c r="J566" s="71"/>
    </row>
    <row r="567" spans="6:10" ht="13" x14ac:dyDescent="0.15">
      <c r="F567" s="70"/>
      <c r="H567" s="71"/>
      <c r="I567" s="71"/>
      <c r="J567" s="71"/>
    </row>
    <row r="568" spans="6:10" ht="13" x14ac:dyDescent="0.15">
      <c r="F568" s="70"/>
      <c r="H568" s="71"/>
      <c r="I568" s="71"/>
      <c r="J568" s="71"/>
    </row>
    <row r="569" spans="6:10" ht="13" x14ac:dyDescent="0.15">
      <c r="F569" s="70"/>
      <c r="H569" s="71"/>
      <c r="I569" s="71"/>
      <c r="J569" s="71"/>
    </row>
    <row r="570" spans="6:10" ht="13" x14ac:dyDescent="0.15">
      <c r="F570" s="70"/>
      <c r="H570" s="71"/>
      <c r="I570" s="71"/>
      <c r="J570" s="71"/>
    </row>
    <row r="571" spans="6:10" ht="13" x14ac:dyDescent="0.15">
      <c r="F571" s="70"/>
      <c r="H571" s="71"/>
      <c r="I571" s="71"/>
      <c r="J571" s="71"/>
    </row>
    <row r="572" spans="6:10" ht="13" x14ac:dyDescent="0.15">
      <c r="F572" s="70"/>
      <c r="H572" s="71"/>
      <c r="I572" s="71"/>
      <c r="J572" s="71"/>
    </row>
    <row r="573" spans="6:10" ht="13" x14ac:dyDescent="0.15">
      <c r="F573" s="70"/>
      <c r="H573" s="71"/>
      <c r="I573" s="71"/>
      <c r="J573" s="71"/>
    </row>
    <row r="574" spans="6:10" ht="13" x14ac:dyDescent="0.15">
      <c r="F574" s="70"/>
      <c r="H574" s="71"/>
      <c r="I574" s="71"/>
      <c r="J574" s="71"/>
    </row>
    <row r="575" spans="6:10" ht="13" x14ac:dyDescent="0.15">
      <c r="F575" s="70"/>
      <c r="H575" s="71"/>
      <c r="I575" s="71"/>
      <c r="J575" s="71"/>
    </row>
    <row r="576" spans="6:10" ht="13" x14ac:dyDescent="0.15">
      <c r="F576" s="70"/>
      <c r="H576" s="71"/>
      <c r="I576" s="71"/>
      <c r="J576" s="71"/>
    </row>
    <row r="577" spans="6:10" ht="13" x14ac:dyDescent="0.15">
      <c r="F577" s="70"/>
      <c r="H577" s="71"/>
      <c r="I577" s="71"/>
      <c r="J577" s="71"/>
    </row>
    <row r="578" spans="6:10" ht="13" x14ac:dyDescent="0.15">
      <c r="F578" s="70"/>
      <c r="H578" s="71"/>
      <c r="I578" s="71"/>
      <c r="J578" s="71"/>
    </row>
    <row r="579" spans="6:10" ht="13" x14ac:dyDescent="0.15">
      <c r="F579" s="70"/>
      <c r="H579" s="71"/>
      <c r="I579" s="71"/>
      <c r="J579" s="71"/>
    </row>
    <row r="580" spans="6:10" ht="13" x14ac:dyDescent="0.15">
      <c r="F580" s="70"/>
      <c r="H580" s="71"/>
      <c r="I580" s="71"/>
      <c r="J580" s="71"/>
    </row>
    <row r="581" spans="6:10" ht="13" x14ac:dyDescent="0.15">
      <c r="F581" s="70"/>
      <c r="H581" s="71"/>
      <c r="I581" s="71"/>
      <c r="J581" s="71"/>
    </row>
    <row r="582" spans="6:10" ht="13" x14ac:dyDescent="0.15">
      <c r="F582" s="70"/>
      <c r="H582" s="71"/>
      <c r="I582" s="71"/>
      <c r="J582" s="71"/>
    </row>
    <row r="583" spans="6:10" ht="13" x14ac:dyDescent="0.15">
      <c r="F583" s="70"/>
      <c r="H583" s="71"/>
      <c r="I583" s="71"/>
      <c r="J583" s="71"/>
    </row>
    <row r="584" spans="6:10" ht="13" x14ac:dyDescent="0.15">
      <c r="F584" s="70"/>
      <c r="H584" s="71"/>
      <c r="I584" s="71"/>
      <c r="J584" s="71"/>
    </row>
    <row r="585" spans="6:10" ht="13" x14ac:dyDescent="0.15">
      <c r="F585" s="70"/>
      <c r="H585" s="71"/>
      <c r="I585" s="71"/>
      <c r="J585" s="71"/>
    </row>
    <row r="586" spans="6:10" ht="13" x14ac:dyDescent="0.15">
      <c r="F586" s="70"/>
      <c r="H586" s="71"/>
      <c r="I586" s="71"/>
      <c r="J586" s="71"/>
    </row>
    <row r="587" spans="6:10" ht="13" x14ac:dyDescent="0.15">
      <c r="F587" s="70"/>
      <c r="H587" s="71"/>
      <c r="I587" s="71"/>
      <c r="J587" s="71"/>
    </row>
    <row r="588" spans="6:10" ht="13" x14ac:dyDescent="0.15">
      <c r="F588" s="70"/>
      <c r="H588" s="71"/>
      <c r="I588" s="71"/>
      <c r="J588" s="71"/>
    </row>
    <row r="589" spans="6:10" ht="13" x14ac:dyDescent="0.15">
      <c r="F589" s="70"/>
      <c r="H589" s="71"/>
      <c r="I589" s="71"/>
      <c r="J589" s="71"/>
    </row>
    <row r="590" spans="6:10" ht="13" x14ac:dyDescent="0.15">
      <c r="F590" s="70"/>
      <c r="H590" s="71"/>
      <c r="I590" s="71"/>
      <c r="J590" s="71"/>
    </row>
    <row r="591" spans="6:10" ht="13" x14ac:dyDescent="0.15">
      <c r="F591" s="70"/>
      <c r="H591" s="71"/>
      <c r="I591" s="71"/>
      <c r="J591" s="71"/>
    </row>
    <row r="592" spans="6:10" ht="13" x14ac:dyDescent="0.15">
      <c r="F592" s="70"/>
      <c r="H592" s="71"/>
      <c r="I592" s="71"/>
      <c r="J592" s="71"/>
    </row>
    <row r="593" spans="6:10" ht="13" x14ac:dyDescent="0.15">
      <c r="F593" s="70"/>
      <c r="H593" s="71"/>
      <c r="I593" s="71"/>
      <c r="J593" s="71"/>
    </row>
    <row r="594" spans="6:10" ht="13" x14ac:dyDescent="0.15">
      <c r="F594" s="70"/>
      <c r="H594" s="71"/>
      <c r="I594" s="71"/>
      <c r="J594" s="71"/>
    </row>
    <row r="595" spans="6:10" ht="13" x14ac:dyDescent="0.15">
      <c r="F595" s="70"/>
      <c r="H595" s="71"/>
      <c r="I595" s="71"/>
      <c r="J595" s="71"/>
    </row>
    <row r="596" spans="6:10" ht="13" x14ac:dyDescent="0.15">
      <c r="F596" s="70"/>
      <c r="H596" s="71"/>
      <c r="I596" s="71"/>
      <c r="J596" s="71"/>
    </row>
    <row r="597" spans="6:10" ht="13" x14ac:dyDescent="0.15">
      <c r="F597" s="70"/>
      <c r="H597" s="71"/>
      <c r="I597" s="71"/>
      <c r="J597" s="71"/>
    </row>
    <row r="598" spans="6:10" ht="13" x14ac:dyDescent="0.15">
      <c r="F598" s="70"/>
      <c r="H598" s="71"/>
      <c r="I598" s="71"/>
      <c r="J598" s="71"/>
    </row>
    <row r="599" spans="6:10" ht="13" x14ac:dyDescent="0.15">
      <c r="F599" s="70"/>
      <c r="H599" s="71"/>
      <c r="I599" s="71"/>
      <c r="J599" s="71"/>
    </row>
    <row r="600" spans="6:10" ht="13" x14ac:dyDescent="0.15">
      <c r="F600" s="70"/>
      <c r="H600" s="71"/>
      <c r="I600" s="71"/>
      <c r="J600" s="71"/>
    </row>
    <row r="601" spans="6:10" ht="13" x14ac:dyDescent="0.15">
      <c r="F601" s="70"/>
      <c r="H601" s="71"/>
      <c r="I601" s="71"/>
      <c r="J601" s="71"/>
    </row>
    <row r="602" spans="6:10" ht="13" x14ac:dyDescent="0.15">
      <c r="F602" s="70"/>
      <c r="H602" s="71"/>
      <c r="I602" s="71"/>
      <c r="J602" s="71"/>
    </row>
    <row r="603" spans="6:10" ht="13" x14ac:dyDescent="0.15">
      <c r="F603" s="70"/>
      <c r="H603" s="71"/>
      <c r="I603" s="71"/>
      <c r="J603" s="71"/>
    </row>
    <row r="604" spans="6:10" ht="13" x14ac:dyDescent="0.15">
      <c r="F604" s="70"/>
      <c r="H604" s="71"/>
      <c r="I604" s="71"/>
      <c r="J604" s="71"/>
    </row>
    <row r="605" spans="6:10" ht="13" x14ac:dyDescent="0.15">
      <c r="F605" s="70"/>
      <c r="H605" s="71"/>
      <c r="I605" s="71"/>
      <c r="J605" s="71"/>
    </row>
    <row r="606" spans="6:10" ht="13" x14ac:dyDescent="0.15">
      <c r="F606" s="70"/>
      <c r="H606" s="71"/>
      <c r="I606" s="71"/>
      <c r="J606" s="71"/>
    </row>
    <row r="607" spans="6:10" ht="13" x14ac:dyDescent="0.15">
      <c r="F607" s="70"/>
      <c r="H607" s="71"/>
      <c r="I607" s="71"/>
      <c r="J607" s="71"/>
    </row>
    <row r="608" spans="6:10" ht="13" x14ac:dyDescent="0.15">
      <c r="F608" s="70"/>
      <c r="H608" s="71"/>
      <c r="I608" s="71"/>
      <c r="J608" s="71"/>
    </row>
    <row r="609" spans="6:10" ht="13" x14ac:dyDescent="0.15">
      <c r="F609" s="70"/>
      <c r="H609" s="71"/>
      <c r="I609" s="71"/>
      <c r="J609" s="71"/>
    </row>
    <row r="610" spans="6:10" ht="13" x14ac:dyDescent="0.15">
      <c r="F610" s="70"/>
      <c r="H610" s="71"/>
      <c r="I610" s="71"/>
      <c r="J610" s="71"/>
    </row>
    <row r="611" spans="6:10" ht="13" x14ac:dyDescent="0.15">
      <c r="F611" s="70"/>
      <c r="H611" s="71"/>
      <c r="I611" s="71"/>
      <c r="J611" s="71"/>
    </row>
    <row r="612" spans="6:10" ht="13" x14ac:dyDescent="0.15">
      <c r="F612" s="70"/>
      <c r="H612" s="71"/>
      <c r="I612" s="71"/>
      <c r="J612" s="71"/>
    </row>
    <row r="613" spans="6:10" ht="13" x14ac:dyDescent="0.15">
      <c r="F613" s="70"/>
      <c r="H613" s="71"/>
      <c r="I613" s="71"/>
      <c r="J613" s="71"/>
    </row>
    <row r="614" spans="6:10" ht="13" x14ac:dyDescent="0.15">
      <c r="F614" s="70"/>
      <c r="H614" s="71"/>
      <c r="I614" s="71"/>
      <c r="J614" s="71"/>
    </row>
    <row r="615" spans="6:10" ht="13" x14ac:dyDescent="0.15">
      <c r="F615" s="70"/>
      <c r="H615" s="71"/>
      <c r="I615" s="71"/>
      <c r="J615" s="71"/>
    </row>
    <row r="616" spans="6:10" ht="13" x14ac:dyDescent="0.15">
      <c r="F616" s="70"/>
      <c r="H616" s="71"/>
      <c r="I616" s="71"/>
      <c r="J616" s="71"/>
    </row>
    <row r="617" spans="6:10" ht="13" x14ac:dyDescent="0.15">
      <c r="F617" s="70"/>
      <c r="H617" s="71"/>
      <c r="I617" s="71"/>
      <c r="J617" s="71"/>
    </row>
    <row r="618" spans="6:10" ht="13" x14ac:dyDescent="0.15">
      <c r="F618" s="70"/>
      <c r="H618" s="71"/>
      <c r="I618" s="71"/>
      <c r="J618" s="71"/>
    </row>
    <row r="619" spans="6:10" ht="13" x14ac:dyDescent="0.15">
      <c r="F619" s="70"/>
      <c r="H619" s="71"/>
      <c r="I619" s="71"/>
      <c r="J619" s="71"/>
    </row>
    <row r="620" spans="6:10" ht="13" x14ac:dyDescent="0.15">
      <c r="F620" s="70"/>
      <c r="H620" s="71"/>
      <c r="I620" s="71"/>
      <c r="J620" s="71"/>
    </row>
    <row r="621" spans="6:10" ht="13" x14ac:dyDescent="0.15">
      <c r="F621" s="70"/>
      <c r="H621" s="71"/>
      <c r="I621" s="71"/>
      <c r="J621" s="71"/>
    </row>
    <row r="622" spans="6:10" ht="13" x14ac:dyDescent="0.15">
      <c r="F622" s="70"/>
      <c r="H622" s="71"/>
      <c r="I622" s="71"/>
      <c r="J622" s="71"/>
    </row>
    <row r="623" spans="6:10" ht="13" x14ac:dyDescent="0.15">
      <c r="F623" s="70"/>
      <c r="H623" s="71"/>
      <c r="I623" s="71"/>
      <c r="J623" s="71"/>
    </row>
    <row r="624" spans="6:10" ht="13" x14ac:dyDescent="0.15">
      <c r="F624" s="70"/>
      <c r="H624" s="71"/>
      <c r="I624" s="71"/>
      <c r="J624" s="71"/>
    </row>
    <row r="625" spans="6:10" ht="13" x14ac:dyDescent="0.15">
      <c r="F625" s="70"/>
      <c r="H625" s="71"/>
      <c r="I625" s="71"/>
      <c r="J625" s="71"/>
    </row>
    <row r="626" spans="6:10" ht="13" x14ac:dyDescent="0.15">
      <c r="F626" s="70"/>
      <c r="H626" s="71"/>
      <c r="I626" s="71"/>
      <c r="J626" s="71"/>
    </row>
    <row r="627" spans="6:10" ht="13" x14ac:dyDescent="0.15">
      <c r="F627" s="70"/>
      <c r="H627" s="71"/>
      <c r="I627" s="71"/>
      <c r="J627" s="71"/>
    </row>
    <row r="628" spans="6:10" ht="13" x14ac:dyDescent="0.15">
      <c r="F628" s="70"/>
      <c r="H628" s="71"/>
      <c r="I628" s="71"/>
      <c r="J628" s="71"/>
    </row>
    <row r="629" spans="6:10" ht="13" x14ac:dyDescent="0.15">
      <c r="F629" s="70"/>
      <c r="H629" s="71"/>
      <c r="I629" s="71"/>
      <c r="J629" s="71"/>
    </row>
    <row r="630" spans="6:10" ht="13" x14ac:dyDescent="0.15">
      <c r="F630" s="70"/>
      <c r="H630" s="71"/>
      <c r="I630" s="71"/>
      <c r="J630" s="71"/>
    </row>
    <row r="631" spans="6:10" ht="13" x14ac:dyDescent="0.15">
      <c r="F631" s="70"/>
      <c r="H631" s="71"/>
      <c r="I631" s="71"/>
      <c r="J631" s="71"/>
    </row>
    <row r="632" spans="6:10" ht="13" x14ac:dyDescent="0.15">
      <c r="F632" s="70"/>
      <c r="H632" s="71"/>
      <c r="I632" s="71"/>
      <c r="J632" s="71"/>
    </row>
    <row r="633" spans="6:10" ht="13" x14ac:dyDescent="0.15">
      <c r="F633" s="70"/>
      <c r="H633" s="71"/>
      <c r="I633" s="71"/>
      <c r="J633" s="71"/>
    </row>
    <row r="634" spans="6:10" ht="13" x14ac:dyDescent="0.15">
      <c r="F634" s="70"/>
      <c r="H634" s="71"/>
      <c r="I634" s="71"/>
      <c r="J634" s="71"/>
    </row>
    <row r="635" spans="6:10" ht="13" x14ac:dyDescent="0.15">
      <c r="F635" s="70"/>
      <c r="H635" s="71"/>
      <c r="I635" s="71"/>
      <c r="J635" s="71"/>
    </row>
    <row r="636" spans="6:10" ht="13" x14ac:dyDescent="0.15">
      <c r="F636" s="70"/>
      <c r="H636" s="71"/>
      <c r="I636" s="71"/>
      <c r="J636" s="71"/>
    </row>
    <row r="637" spans="6:10" ht="13" x14ac:dyDescent="0.15">
      <c r="F637" s="70"/>
      <c r="H637" s="71"/>
      <c r="I637" s="71"/>
      <c r="J637" s="71"/>
    </row>
    <row r="638" spans="6:10" ht="13" x14ac:dyDescent="0.15">
      <c r="F638" s="70"/>
      <c r="H638" s="71"/>
      <c r="I638" s="71"/>
      <c r="J638" s="71"/>
    </row>
    <row r="639" spans="6:10" ht="13" x14ac:dyDescent="0.15">
      <c r="F639" s="70"/>
      <c r="H639" s="71"/>
      <c r="I639" s="71"/>
      <c r="J639" s="71"/>
    </row>
    <row r="640" spans="6:10" ht="13" x14ac:dyDescent="0.15">
      <c r="F640" s="70"/>
      <c r="H640" s="71"/>
      <c r="I640" s="71"/>
      <c r="J640" s="71"/>
    </row>
    <row r="641" spans="6:10" ht="13" x14ac:dyDescent="0.15">
      <c r="F641" s="70"/>
      <c r="H641" s="71"/>
      <c r="I641" s="71"/>
      <c r="J641" s="71"/>
    </row>
    <row r="642" spans="6:10" ht="13" x14ac:dyDescent="0.15">
      <c r="F642" s="70"/>
      <c r="H642" s="71"/>
      <c r="I642" s="71"/>
      <c r="J642" s="71"/>
    </row>
    <row r="643" spans="6:10" ht="13" x14ac:dyDescent="0.15">
      <c r="F643" s="70"/>
      <c r="H643" s="71"/>
      <c r="I643" s="71"/>
      <c r="J643" s="71"/>
    </row>
    <row r="644" spans="6:10" ht="13" x14ac:dyDescent="0.15">
      <c r="F644" s="70"/>
      <c r="H644" s="71"/>
      <c r="I644" s="71"/>
      <c r="J644" s="71"/>
    </row>
    <row r="645" spans="6:10" ht="13" x14ac:dyDescent="0.15">
      <c r="F645" s="70"/>
      <c r="H645" s="71"/>
      <c r="I645" s="71"/>
      <c r="J645" s="71"/>
    </row>
    <row r="646" spans="6:10" ht="13" x14ac:dyDescent="0.15">
      <c r="F646" s="70"/>
      <c r="H646" s="71"/>
      <c r="I646" s="71"/>
      <c r="J646" s="71"/>
    </row>
    <row r="647" spans="6:10" ht="13" x14ac:dyDescent="0.15">
      <c r="F647" s="70"/>
      <c r="H647" s="71"/>
      <c r="I647" s="71"/>
      <c r="J647" s="71"/>
    </row>
    <row r="648" spans="6:10" ht="13" x14ac:dyDescent="0.15">
      <c r="F648" s="70"/>
      <c r="H648" s="71"/>
      <c r="I648" s="71"/>
      <c r="J648" s="71"/>
    </row>
    <row r="649" spans="6:10" ht="13" x14ac:dyDescent="0.15">
      <c r="F649" s="70"/>
      <c r="H649" s="71"/>
      <c r="I649" s="71"/>
      <c r="J649" s="71"/>
    </row>
    <row r="650" spans="6:10" ht="13" x14ac:dyDescent="0.15">
      <c r="F650" s="70"/>
      <c r="H650" s="71"/>
      <c r="I650" s="71"/>
      <c r="J650" s="71"/>
    </row>
    <row r="651" spans="6:10" ht="13" x14ac:dyDescent="0.15">
      <c r="F651" s="70"/>
      <c r="H651" s="71"/>
      <c r="I651" s="71"/>
      <c r="J651" s="71"/>
    </row>
    <row r="652" spans="6:10" ht="13" x14ac:dyDescent="0.15">
      <c r="F652" s="70"/>
      <c r="H652" s="71"/>
      <c r="I652" s="71"/>
      <c r="J652" s="71"/>
    </row>
    <row r="653" spans="6:10" ht="13" x14ac:dyDescent="0.15">
      <c r="F653" s="70"/>
      <c r="H653" s="71"/>
      <c r="I653" s="71"/>
      <c r="J653" s="71"/>
    </row>
    <row r="654" spans="6:10" ht="13" x14ac:dyDescent="0.15">
      <c r="F654" s="70"/>
      <c r="H654" s="71"/>
      <c r="I654" s="71"/>
      <c r="J654" s="71"/>
    </row>
    <row r="655" spans="6:10" ht="13" x14ac:dyDescent="0.15">
      <c r="F655" s="70"/>
      <c r="H655" s="71"/>
      <c r="I655" s="71"/>
      <c r="J655" s="71"/>
    </row>
    <row r="656" spans="6:10" ht="13" x14ac:dyDescent="0.15">
      <c r="F656" s="70"/>
      <c r="H656" s="71"/>
      <c r="I656" s="71"/>
      <c r="J656" s="71"/>
    </row>
    <row r="657" spans="6:10" ht="13" x14ac:dyDescent="0.15">
      <c r="F657" s="70"/>
      <c r="H657" s="71"/>
      <c r="I657" s="71"/>
      <c r="J657" s="71"/>
    </row>
    <row r="658" spans="6:10" ht="13" x14ac:dyDescent="0.15">
      <c r="F658" s="70"/>
      <c r="H658" s="71"/>
      <c r="I658" s="71"/>
      <c r="J658" s="71"/>
    </row>
    <row r="659" spans="6:10" ht="13" x14ac:dyDescent="0.15">
      <c r="F659" s="70"/>
      <c r="H659" s="71"/>
      <c r="I659" s="71"/>
      <c r="J659" s="71"/>
    </row>
    <row r="660" spans="6:10" ht="13" x14ac:dyDescent="0.15">
      <c r="F660" s="70"/>
      <c r="H660" s="71"/>
      <c r="I660" s="71"/>
      <c r="J660" s="71"/>
    </row>
    <row r="661" spans="6:10" ht="13" x14ac:dyDescent="0.15">
      <c r="F661" s="70"/>
      <c r="H661" s="71"/>
      <c r="I661" s="71"/>
      <c r="J661" s="71"/>
    </row>
    <row r="662" spans="6:10" ht="13" x14ac:dyDescent="0.15">
      <c r="F662" s="70"/>
      <c r="H662" s="71"/>
      <c r="I662" s="71"/>
      <c r="J662" s="71"/>
    </row>
    <row r="663" spans="6:10" ht="13" x14ac:dyDescent="0.15">
      <c r="F663" s="70"/>
      <c r="H663" s="71"/>
      <c r="I663" s="71"/>
      <c r="J663" s="71"/>
    </row>
    <row r="664" spans="6:10" ht="13" x14ac:dyDescent="0.15">
      <c r="F664" s="70"/>
      <c r="H664" s="71"/>
      <c r="I664" s="71"/>
      <c r="J664" s="71"/>
    </row>
    <row r="665" spans="6:10" ht="13" x14ac:dyDescent="0.15">
      <c r="F665" s="70"/>
      <c r="H665" s="71"/>
      <c r="I665" s="71"/>
      <c r="J665" s="71"/>
    </row>
    <row r="666" spans="6:10" ht="13" x14ac:dyDescent="0.15">
      <c r="F666" s="70"/>
      <c r="H666" s="71"/>
      <c r="I666" s="71"/>
      <c r="J666" s="71"/>
    </row>
    <row r="667" spans="6:10" ht="13" x14ac:dyDescent="0.15">
      <c r="F667" s="70"/>
      <c r="H667" s="71"/>
      <c r="I667" s="71"/>
      <c r="J667" s="71"/>
    </row>
    <row r="668" spans="6:10" ht="13" x14ac:dyDescent="0.15">
      <c r="F668" s="70"/>
      <c r="H668" s="71"/>
      <c r="I668" s="71"/>
      <c r="J668" s="71"/>
    </row>
    <row r="669" spans="6:10" ht="13" x14ac:dyDescent="0.15">
      <c r="F669" s="70"/>
      <c r="H669" s="71"/>
      <c r="I669" s="71"/>
      <c r="J669" s="71"/>
    </row>
    <row r="670" spans="6:10" ht="13" x14ac:dyDescent="0.15">
      <c r="F670" s="70"/>
      <c r="H670" s="71"/>
      <c r="I670" s="71"/>
      <c r="J670" s="71"/>
    </row>
    <row r="671" spans="6:10" ht="13" x14ac:dyDescent="0.15">
      <c r="F671" s="70"/>
      <c r="H671" s="71"/>
      <c r="I671" s="71"/>
      <c r="J671" s="71"/>
    </row>
    <row r="672" spans="6:10" ht="13" x14ac:dyDescent="0.15">
      <c r="F672" s="70"/>
      <c r="H672" s="71"/>
      <c r="I672" s="71"/>
      <c r="J672" s="71"/>
    </row>
    <row r="673" spans="6:10" ht="13" x14ac:dyDescent="0.15">
      <c r="F673" s="70"/>
      <c r="H673" s="71"/>
      <c r="I673" s="71"/>
      <c r="J673" s="71"/>
    </row>
    <row r="674" spans="6:10" ht="13" x14ac:dyDescent="0.15">
      <c r="F674" s="70"/>
      <c r="H674" s="71"/>
      <c r="I674" s="71"/>
      <c r="J674" s="71"/>
    </row>
    <row r="675" spans="6:10" ht="13" x14ac:dyDescent="0.15">
      <c r="F675" s="70"/>
      <c r="H675" s="71"/>
      <c r="I675" s="71"/>
      <c r="J675" s="71"/>
    </row>
    <row r="676" spans="6:10" ht="13" x14ac:dyDescent="0.15">
      <c r="F676" s="70"/>
      <c r="H676" s="71"/>
      <c r="I676" s="71"/>
      <c r="J676" s="71"/>
    </row>
    <row r="677" spans="6:10" ht="13" x14ac:dyDescent="0.15">
      <c r="F677" s="70"/>
      <c r="H677" s="71"/>
      <c r="I677" s="71"/>
      <c r="J677" s="71"/>
    </row>
    <row r="678" spans="6:10" ht="13" x14ac:dyDescent="0.15">
      <c r="F678" s="70"/>
      <c r="H678" s="71"/>
      <c r="I678" s="71"/>
      <c r="J678" s="71"/>
    </row>
    <row r="679" spans="6:10" ht="13" x14ac:dyDescent="0.15">
      <c r="F679" s="70"/>
      <c r="H679" s="71"/>
      <c r="I679" s="71"/>
      <c r="J679" s="71"/>
    </row>
    <row r="680" spans="6:10" ht="13" x14ac:dyDescent="0.15">
      <c r="F680" s="70"/>
      <c r="H680" s="71"/>
      <c r="I680" s="71"/>
      <c r="J680" s="71"/>
    </row>
    <row r="681" spans="6:10" ht="13" x14ac:dyDescent="0.15">
      <c r="F681" s="70"/>
      <c r="H681" s="71"/>
      <c r="I681" s="71"/>
      <c r="J681" s="71"/>
    </row>
    <row r="682" spans="6:10" ht="13" x14ac:dyDescent="0.15">
      <c r="F682" s="70"/>
      <c r="H682" s="71"/>
      <c r="I682" s="71"/>
      <c r="J682" s="71"/>
    </row>
    <row r="683" spans="6:10" ht="13" x14ac:dyDescent="0.15">
      <c r="F683" s="70"/>
      <c r="H683" s="71"/>
      <c r="I683" s="71"/>
      <c r="J683" s="71"/>
    </row>
    <row r="684" spans="6:10" ht="13" x14ac:dyDescent="0.15">
      <c r="F684" s="70"/>
      <c r="H684" s="71"/>
      <c r="I684" s="71"/>
      <c r="J684" s="71"/>
    </row>
    <row r="685" spans="6:10" ht="13" x14ac:dyDescent="0.15">
      <c r="F685" s="70"/>
      <c r="H685" s="71"/>
      <c r="I685" s="71"/>
      <c r="J685" s="71"/>
    </row>
    <row r="686" spans="6:10" ht="13" x14ac:dyDescent="0.15">
      <c r="F686" s="70"/>
      <c r="H686" s="71"/>
      <c r="I686" s="71"/>
      <c r="J686" s="71"/>
    </row>
    <row r="687" spans="6:10" ht="13" x14ac:dyDescent="0.15">
      <c r="F687" s="70"/>
      <c r="H687" s="71"/>
      <c r="I687" s="71"/>
      <c r="J687" s="71"/>
    </row>
    <row r="688" spans="6:10" ht="13" x14ac:dyDescent="0.15">
      <c r="F688" s="70"/>
      <c r="H688" s="71"/>
      <c r="I688" s="71"/>
      <c r="J688" s="71"/>
    </row>
    <row r="689" spans="6:10" ht="13" x14ac:dyDescent="0.15">
      <c r="F689" s="70"/>
      <c r="H689" s="71"/>
      <c r="I689" s="71"/>
      <c r="J689" s="71"/>
    </row>
    <row r="690" spans="6:10" ht="13" x14ac:dyDescent="0.15">
      <c r="F690" s="70"/>
      <c r="H690" s="71"/>
      <c r="I690" s="71"/>
      <c r="J690" s="71"/>
    </row>
    <row r="691" spans="6:10" ht="13" x14ac:dyDescent="0.15">
      <c r="F691" s="70"/>
      <c r="H691" s="71"/>
      <c r="I691" s="71"/>
      <c r="J691" s="71"/>
    </row>
    <row r="692" spans="6:10" ht="13" x14ac:dyDescent="0.15">
      <c r="F692" s="70"/>
      <c r="H692" s="71"/>
      <c r="I692" s="71"/>
      <c r="J692" s="71"/>
    </row>
    <row r="693" spans="6:10" ht="13" x14ac:dyDescent="0.15">
      <c r="F693" s="70"/>
      <c r="H693" s="71"/>
      <c r="I693" s="71"/>
      <c r="J693" s="71"/>
    </row>
    <row r="694" spans="6:10" ht="13" x14ac:dyDescent="0.15">
      <c r="F694" s="70"/>
      <c r="H694" s="71"/>
      <c r="I694" s="71"/>
      <c r="J694" s="71"/>
    </row>
    <row r="695" spans="6:10" ht="13" x14ac:dyDescent="0.15">
      <c r="F695" s="70"/>
      <c r="H695" s="71"/>
      <c r="I695" s="71"/>
      <c r="J695" s="71"/>
    </row>
    <row r="696" spans="6:10" ht="13" x14ac:dyDescent="0.15">
      <c r="F696" s="70"/>
      <c r="H696" s="71"/>
      <c r="I696" s="71"/>
      <c r="J696" s="71"/>
    </row>
    <row r="697" spans="6:10" ht="13" x14ac:dyDescent="0.15">
      <c r="F697" s="70"/>
      <c r="H697" s="71"/>
      <c r="I697" s="71"/>
      <c r="J697" s="71"/>
    </row>
    <row r="698" spans="6:10" ht="13" x14ac:dyDescent="0.15">
      <c r="F698" s="70"/>
      <c r="H698" s="71"/>
      <c r="I698" s="71"/>
      <c r="J698" s="71"/>
    </row>
    <row r="699" spans="6:10" ht="13" x14ac:dyDescent="0.15">
      <c r="F699" s="70"/>
      <c r="H699" s="71"/>
      <c r="I699" s="71"/>
      <c r="J699" s="71"/>
    </row>
    <row r="700" spans="6:10" ht="13" x14ac:dyDescent="0.15">
      <c r="F700" s="70"/>
      <c r="H700" s="71"/>
      <c r="I700" s="71"/>
      <c r="J700" s="71"/>
    </row>
    <row r="701" spans="6:10" ht="13" x14ac:dyDescent="0.15">
      <c r="F701" s="70"/>
      <c r="H701" s="71"/>
      <c r="I701" s="71"/>
      <c r="J701" s="71"/>
    </row>
    <row r="702" spans="6:10" ht="13" x14ac:dyDescent="0.15">
      <c r="F702" s="70"/>
      <c r="H702" s="71"/>
      <c r="I702" s="71"/>
      <c r="J702" s="71"/>
    </row>
    <row r="703" spans="6:10" ht="13" x14ac:dyDescent="0.15">
      <c r="F703" s="70"/>
      <c r="H703" s="71"/>
      <c r="I703" s="71"/>
      <c r="J703" s="71"/>
    </row>
    <row r="704" spans="6:10" ht="13" x14ac:dyDescent="0.15">
      <c r="F704" s="70"/>
      <c r="H704" s="71"/>
      <c r="I704" s="71"/>
      <c r="J704" s="71"/>
    </row>
    <row r="705" spans="6:10" ht="13" x14ac:dyDescent="0.15">
      <c r="F705" s="70"/>
      <c r="H705" s="71"/>
      <c r="I705" s="71"/>
      <c r="J705" s="71"/>
    </row>
    <row r="706" spans="6:10" ht="13" x14ac:dyDescent="0.15">
      <c r="F706" s="70"/>
      <c r="H706" s="71"/>
      <c r="I706" s="71"/>
      <c r="J706" s="71"/>
    </row>
    <row r="707" spans="6:10" ht="13" x14ac:dyDescent="0.15">
      <c r="F707" s="70"/>
      <c r="H707" s="71"/>
      <c r="I707" s="71"/>
      <c r="J707" s="71"/>
    </row>
    <row r="708" spans="6:10" ht="13" x14ac:dyDescent="0.15">
      <c r="F708" s="70"/>
      <c r="H708" s="71"/>
      <c r="I708" s="71"/>
      <c r="J708" s="71"/>
    </row>
    <row r="709" spans="6:10" ht="13" x14ac:dyDescent="0.15">
      <c r="F709" s="70"/>
      <c r="H709" s="71"/>
      <c r="I709" s="71"/>
      <c r="J709" s="71"/>
    </row>
    <row r="710" spans="6:10" ht="13" x14ac:dyDescent="0.15">
      <c r="F710" s="70"/>
      <c r="H710" s="71"/>
      <c r="I710" s="71"/>
      <c r="J710" s="71"/>
    </row>
    <row r="711" spans="6:10" ht="13" x14ac:dyDescent="0.15">
      <c r="F711" s="70"/>
      <c r="H711" s="71"/>
      <c r="I711" s="71"/>
      <c r="J711" s="71"/>
    </row>
    <row r="712" spans="6:10" ht="13" x14ac:dyDescent="0.15">
      <c r="F712" s="70"/>
      <c r="H712" s="71"/>
      <c r="I712" s="71"/>
      <c r="J712" s="71"/>
    </row>
    <row r="713" spans="6:10" ht="13" x14ac:dyDescent="0.15">
      <c r="F713" s="70"/>
      <c r="H713" s="71"/>
      <c r="I713" s="71"/>
      <c r="J713" s="71"/>
    </row>
    <row r="714" spans="6:10" ht="13" x14ac:dyDescent="0.15">
      <c r="F714" s="70"/>
      <c r="H714" s="71"/>
      <c r="I714" s="71"/>
      <c r="J714" s="71"/>
    </row>
    <row r="715" spans="6:10" ht="13" x14ac:dyDescent="0.15">
      <c r="F715" s="70"/>
      <c r="H715" s="71"/>
      <c r="I715" s="71"/>
      <c r="J715" s="71"/>
    </row>
    <row r="716" spans="6:10" ht="13" x14ac:dyDescent="0.15">
      <c r="F716" s="70"/>
      <c r="H716" s="71"/>
      <c r="I716" s="71"/>
      <c r="J716" s="71"/>
    </row>
    <row r="717" spans="6:10" ht="13" x14ac:dyDescent="0.15">
      <c r="F717" s="70"/>
      <c r="H717" s="71"/>
      <c r="I717" s="71"/>
      <c r="J717" s="71"/>
    </row>
    <row r="718" spans="6:10" ht="13" x14ac:dyDescent="0.15">
      <c r="F718" s="70"/>
      <c r="H718" s="71"/>
      <c r="I718" s="71"/>
      <c r="J718" s="71"/>
    </row>
    <row r="719" spans="6:10" ht="13" x14ac:dyDescent="0.15">
      <c r="F719" s="70"/>
      <c r="H719" s="71"/>
      <c r="I719" s="71"/>
      <c r="J719" s="71"/>
    </row>
    <row r="720" spans="6:10" ht="13" x14ac:dyDescent="0.15">
      <c r="F720" s="70"/>
      <c r="H720" s="71"/>
      <c r="I720" s="71"/>
      <c r="J720" s="71"/>
    </row>
    <row r="721" spans="6:10" ht="13" x14ac:dyDescent="0.15">
      <c r="F721" s="70"/>
      <c r="H721" s="71"/>
      <c r="I721" s="71"/>
      <c r="J721" s="71"/>
    </row>
    <row r="722" spans="6:10" ht="13" x14ac:dyDescent="0.15">
      <c r="F722" s="70"/>
      <c r="H722" s="71"/>
      <c r="I722" s="71"/>
      <c r="J722" s="71"/>
    </row>
    <row r="723" spans="6:10" ht="13" x14ac:dyDescent="0.15">
      <c r="F723" s="70"/>
      <c r="H723" s="71"/>
      <c r="I723" s="71"/>
      <c r="J723" s="71"/>
    </row>
    <row r="724" spans="6:10" ht="13" x14ac:dyDescent="0.15">
      <c r="F724" s="70"/>
      <c r="H724" s="71"/>
      <c r="I724" s="71"/>
      <c r="J724" s="71"/>
    </row>
    <row r="725" spans="6:10" ht="13" x14ac:dyDescent="0.15">
      <c r="F725" s="70"/>
      <c r="H725" s="71"/>
      <c r="I725" s="71"/>
      <c r="J725" s="71"/>
    </row>
    <row r="726" spans="6:10" ht="13" x14ac:dyDescent="0.15">
      <c r="F726" s="70"/>
      <c r="H726" s="71"/>
      <c r="I726" s="71"/>
      <c r="J726" s="71"/>
    </row>
    <row r="727" spans="6:10" ht="13" x14ac:dyDescent="0.15">
      <c r="F727" s="70"/>
      <c r="H727" s="71"/>
      <c r="I727" s="71"/>
      <c r="J727" s="71"/>
    </row>
    <row r="728" spans="6:10" ht="13" x14ac:dyDescent="0.15">
      <c r="F728" s="70"/>
      <c r="H728" s="71"/>
      <c r="I728" s="71"/>
      <c r="J728" s="71"/>
    </row>
    <row r="729" spans="6:10" ht="13" x14ac:dyDescent="0.15">
      <c r="F729" s="70"/>
      <c r="H729" s="71"/>
      <c r="I729" s="71"/>
      <c r="J729" s="71"/>
    </row>
    <row r="730" spans="6:10" ht="13" x14ac:dyDescent="0.15">
      <c r="F730" s="70"/>
      <c r="H730" s="71"/>
      <c r="I730" s="71"/>
      <c r="J730" s="71"/>
    </row>
    <row r="731" spans="6:10" ht="13" x14ac:dyDescent="0.15">
      <c r="F731" s="70"/>
      <c r="H731" s="71"/>
      <c r="I731" s="71"/>
      <c r="J731" s="71"/>
    </row>
    <row r="732" spans="6:10" ht="13" x14ac:dyDescent="0.15">
      <c r="F732" s="70"/>
      <c r="H732" s="71"/>
      <c r="I732" s="71"/>
      <c r="J732" s="71"/>
    </row>
    <row r="733" spans="6:10" ht="13" x14ac:dyDescent="0.15">
      <c r="F733" s="70"/>
      <c r="H733" s="71"/>
      <c r="I733" s="71"/>
      <c r="J733" s="71"/>
    </row>
    <row r="734" spans="6:10" ht="13" x14ac:dyDescent="0.15">
      <c r="F734" s="70"/>
      <c r="H734" s="71"/>
      <c r="I734" s="71"/>
      <c r="J734" s="71"/>
    </row>
    <row r="735" spans="6:10" ht="13" x14ac:dyDescent="0.15">
      <c r="F735" s="70"/>
      <c r="H735" s="71"/>
      <c r="I735" s="71"/>
      <c r="J735" s="71"/>
    </row>
    <row r="736" spans="6:10" ht="13" x14ac:dyDescent="0.15">
      <c r="F736" s="70"/>
      <c r="H736" s="71"/>
      <c r="I736" s="71"/>
      <c r="J736" s="71"/>
    </row>
    <row r="737" spans="6:10" ht="13" x14ac:dyDescent="0.15">
      <c r="F737" s="70"/>
      <c r="H737" s="71"/>
      <c r="I737" s="71"/>
      <c r="J737" s="71"/>
    </row>
    <row r="738" spans="6:10" ht="13" x14ac:dyDescent="0.15">
      <c r="F738" s="70"/>
      <c r="H738" s="71"/>
      <c r="I738" s="71"/>
      <c r="J738" s="71"/>
    </row>
    <row r="739" spans="6:10" ht="13" x14ac:dyDescent="0.15">
      <c r="F739" s="70"/>
      <c r="H739" s="71"/>
      <c r="I739" s="71"/>
      <c r="J739" s="71"/>
    </row>
    <row r="740" spans="6:10" ht="13" x14ac:dyDescent="0.15">
      <c r="F740" s="70"/>
      <c r="H740" s="71"/>
      <c r="I740" s="71"/>
      <c r="J740" s="71"/>
    </row>
    <row r="741" spans="6:10" ht="13" x14ac:dyDescent="0.15">
      <c r="F741" s="70"/>
      <c r="H741" s="71"/>
      <c r="I741" s="71"/>
      <c r="J741" s="71"/>
    </row>
    <row r="742" spans="6:10" ht="13" x14ac:dyDescent="0.15">
      <c r="F742" s="70"/>
      <c r="H742" s="71"/>
      <c r="I742" s="71"/>
      <c r="J742" s="71"/>
    </row>
    <row r="743" spans="6:10" ht="13" x14ac:dyDescent="0.15">
      <c r="F743" s="70"/>
      <c r="H743" s="71"/>
      <c r="I743" s="71"/>
      <c r="J743" s="71"/>
    </row>
    <row r="744" spans="6:10" ht="13" x14ac:dyDescent="0.15">
      <c r="F744" s="70"/>
      <c r="H744" s="71"/>
      <c r="I744" s="71"/>
      <c r="J744" s="71"/>
    </row>
    <row r="745" spans="6:10" ht="13" x14ac:dyDescent="0.15">
      <c r="F745" s="70"/>
      <c r="H745" s="71"/>
      <c r="I745" s="71"/>
      <c r="J745" s="71"/>
    </row>
    <row r="746" spans="6:10" ht="13" x14ac:dyDescent="0.15">
      <c r="F746" s="70"/>
      <c r="H746" s="71"/>
      <c r="I746" s="71"/>
      <c r="J746" s="71"/>
    </row>
    <row r="747" spans="6:10" ht="13" x14ac:dyDescent="0.15">
      <c r="F747" s="70"/>
      <c r="H747" s="71"/>
      <c r="I747" s="71"/>
      <c r="J747" s="71"/>
    </row>
    <row r="748" spans="6:10" ht="13" x14ac:dyDescent="0.15">
      <c r="F748" s="70"/>
      <c r="H748" s="71"/>
      <c r="I748" s="71"/>
      <c r="J748" s="71"/>
    </row>
    <row r="749" spans="6:10" ht="13" x14ac:dyDescent="0.15">
      <c r="F749" s="70"/>
      <c r="H749" s="71"/>
      <c r="I749" s="71"/>
      <c r="J749" s="71"/>
    </row>
    <row r="750" spans="6:10" ht="13" x14ac:dyDescent="0.15">
      <c r="F750" s="70"/>
      <c r="H750" s="71"/>
      <c r="I750" s="71"/>
      <c r="J750" s="71"/>
    </row>
    <row r="751" spans="6:10" ht="13" x14ac:dyDescent="0.15">
      <c r="F751" s="70"/>
      <c r="H751" s="71"/>
      <c r="I751" s="71"/>
      <c r="J751" s="71"/>
    </row>
    <row r="752" spans="6:10" ht="13" x14ac:dyDescent="0.15">
      <c r="F752" s="70"/>
      <c r="H752" s="71"/>
      <c r="I752" s="71"/>
      <c r="J752" s="71"/>
    </row>
    <row r="753" spans="6:10" ht="13" x14ac:dyDescent="0.15">
      <c r="F753" s="70"/>
      <c r="H753" s="71"/>
      <c r="I753" s="71"/>
      <c r="J753" s="71"/>
    </row>
    <row r="754" spans="6:10" ht="13" x14ac:dyDescent="0.15">
      <c r="F754" s="70"/>
      <c r="H754" s="71"/>
      <c r="I754" s="71"/>
      <c r="J754" s="71"/>
    </row>
    <row r="755" spans="6:10" ht="13" x14ac:dyDescent="0.15">
      <c r="F755" s="70"/>
      <c r="H755" s="71"/>
      <c r="I755" s="71"/>
      <c r="J755" s="71"/>
    </row>
    <row r="756" spans="6:10" ht="13" x14ac:dyDescent="0.15">
      <c r="F756" s="70"/>
      <c r="H756" s="71"/>
      <c r="I756" s="71"/>
      <c r="J756" s="71"/>
    </row>
    <row r="757" spans="6:10" ht="13" x14ac:dyDescent="0.15">
      <c r="F757" s="70"/>
      <c r="H757" s="71"/>
      <c r="I757" s="71"/>
      <c r="J757" s="71"/>
    </row>
    <row r="758" spans="6:10" ht="13" x14ac:dyDescent="0.15">
      <c r="F758" s="70"/>
      <c r="H758" s="71"/>
      <c r="I758" s="71"/>
      <c r="J758" s="71"/>
    </row>
    <row r="759" spans="6:10" ht="13" x14ac:dyDescent="0.15">
      <c r="F759" s="70"/>
      <c r="H759" s="71"/>
      <c r="I759" s="71"/>
      <c r="J759" s="71"/>
    </row>
    <row r="760" spans="6:10" ht="13" x14ac:dyDescent="0.15">
      <c r="F760" s="70"/>
      <c r="H760" s="71"/>
      <c r="I760" s="71"/>
      <c r="J760" s="71"/>
    </row>
    <row r="761" spans="6:10" ht="13" x14ac:dyDescent="0.15">
      <c r="F761" s="70"/>
      <c r="H761" s="71"/>
      <c r="I761" s="71"/>
      <c r="J761" s="71"/>
    </row>
    <row r="762" spans="6:10" ht="13" x14ac:dyDescent="0.15">
      <c r="F762" s="70"/>
      <c r="H762" s="71"/>
      <c r="I762" s="71"/>
      <c r="J762" s="71"/>
    </row>
    <row r="763" spans="6:10" ht="13" x14ac:dyDescent="0.15">
      <c r="F763" s="70"/>
      <c r="H763" s="71"/>
      <c r="I763" s="71"/>
      <c r="J763" s="71"/>
    </row>
    <row r="764" spans="6:10" ht="13" x14ac:dyDescent="0.15">
      <c r="F764" s="70"/>
      <c r="H764" s="71"/>
      <c r="I764" s="71"/>
      <c r="J764" s="71"/>
    </row>
    <row r="765" spans="6:10" ht="13" x14ac:dyDescent="0.15">
      <c r="F765" s="70"/>
      <c r="H765" s="71"/>
      <c r="I765" s="71"/>
      <c r="J765" s="71"/>
    </row>
    <row r="766" spans="6:10" ht="13" x14ac:dyDescent="0.15">
      <c r="F766" s="70"/>
      <c r="H766" s="71"/>
      <c r="I766" s="71"/>
      <c r="J766" s="71"/>
    </row>
    <row r="767" spans="6:10" ht="13" x14ac:dyDescent="0.15">
      <c r="F767" s="70"/>
      <c r="H767" s="71"/>
      <c r="I767" s="71"/>
      <c r="J767" s="71"/>
    </row>
    <row r="768" spans="6:10" ht="13" x14ac:dyDescent="0.15">
      <c r="F768" s="70"/>
      <c r="H768" s="71"/>
      <c r="I768" s="71"/>
      <c r="J768" s="71"/>
    </row>
    <row r="769" spans="6:10" ht="13" x14ac:dyDescent="0.15">
      <c r="F769" s="70"/>
      <c r="H769" s="71"/>
      <c r="I769" s="71"/>
      <c r="J769" s="71"/>
    </row>
    <row r="770" spans="6:10" ht="13" x14ac:dyDescent="0.15">
      <c r="F770" s="70"/>
      <c r="H770" s="71"/>
      <c r="I770" s="71"/>
      <c r="J770" s="71"/>
    </row>
    <row r="771" spans="6:10" ht="13" x14ac:dyDescent="0.15">
      <c r="F771" s="70"/>
      <c r="H771" s="71"/>
      <c r="I771" s="71"/>
      <c r="J771" s="71"/>
    </row>
    <row r="772" spans="6:10" ht="13" x14ac:dyDescent="0.15">
      <c r="F772" s="70"/>
      <c r="H772" s="71"/>
      <c r="I772" s="71"/>
      <c r="J772" s="71"/>
    </row>
    <row r="773" spans="6:10" ht="13" x14ac:dyDescent="0.15">
      <c r="F773" s="70"/>
      <c r="H773" s="71"/>
      <c r="I773" s="71"/>
      <c r="J773" s="71"/>
    </row>
    <row r="774" spans="6:10" ht="13" x14ac:dyDescent="0.15">
      <c r="F774" s="70"/>
      <c r="H774" s="71"/>
      <c r="I774" s="71"/>
      <c r="J774" s="71"/>
    </row>
    <row r="775" spans="6:10" ht="13" x14ac:dyDescent="0.15">
      <c r="F775" s="70"/>
      <c r="H775" s="71"/>
      <c r="I775" s="71"/>
      <c r="J775" s="71"/>
    </row>
    <row r="776" spans="6:10" ht="13" x14ac:dyDescent="0.15">
      <c r="F776" s="70"/>
      <c r="H776" s="71"/>
      <c r="I776" s="71"/>
      <c r="J776" s="71"/>
    </row>
    <row r="777" spans="6:10" ht="13" x14ac:dyDescent="0.15">
      <c r="F777" s="70"/>
      <c r="H777" s="71"/>
      <c r="I777" s="71"/>
      <c r="J777" s="71"/>
    </row>
    <row r="778" spans="6:10" ht="13" x14ac:dyDescent="0.15">
      <c r="F778" s="70"/>
      <c r="H778" s="71"/>
      <c r="I778" s="71"/>
      <c r="J778" s="71"/>
    </row>
    <row r="779" spans="6:10" ht="13" x14ac:dyDescent="0.15">
      <c r="F779" s="70"/>
      <c r="H779" s="71"/>
      <c r="I779" s="71"/>
      <c r="J779" s="71"/>
    </row>
    <row r="780" spans="6:10" ht="13" x14ac:dyDescent="0.15">
      <c r="F780" s="70"/>
      <c r="H780" s="71"/>
      <c r="I780" s="71"/>
      <c r="J780" s="71"/>
    </row>
    <row r="781" spans="6:10" ht="13" x14ac:dyDescent="0.15">
      <c r="F781" s="70"/>
      <c r="H781" s="71"/>
      <c r="I781" s="71"/>
      <c r="J781" s="71"/>
    </row>
    <row r="782" spans="6:10" ht="13" x14ac:dyDescent="0.15">
      <c r="F782" s="70"/>
      <c r="H782" s="71"/>
      <c r="I782" s="71"/>
      <c r="J782" s="71"/>
    </row>
    <row r="783" spans="6:10" ht="13" x14ac:dyDescent="0.15">
      <c r="F783" s="70"/>
      <c r="H783" s="71"/>
      <c r="I783" s="71"/>
      <c r="J783" s="71"/>
    </row>
    <row r="784" spans="6:10" ht="13" x14ac:dyDescent="0.15">
      <c r="F784" s="70"/>
      <c r="H784" s="71"/>
      <c r="I784" s="71"/>
      <c r="J784" s="71"/>
    </row>
    <row r="785" spans="6:10" ht="13" x14ac:dyDescent="0.15">
      <c r="F785" s="70"/>
      <c r="H785" s="71"/>
      <c r="I785" s="71"/>
      <c r="J785" s="71"/>
    </row>
    <row r="786" spans="6:10" ht="13" x14ac:dyDescent="0.15">
      <c r="F786" s="70"/>
      <c r="H786" s="71"/>
      <c r="I786" s="71"/>
      <c r="J786" s="71"/>
    </row>
    <row r="787" spans="6:10" ht="13" x14ac:dyDescent="0.15">
      <c r="F787" s="70"/>
      <c r="H787" s="71"/>
      <c r="I787" s="71"/>
      <c r="J787" s="71"/>
    </row>
    <row r="788" spans="6:10" ht="13" x14ac:dyDescent="0.15">
      <c r="F788" s="70"/>
      <c r="H788" s="71"/>
      <c r="I788" s="71"/>
      <c r="J788" s="71"/>
    </row>
    <row r="789" spans="6:10" ht="13" x14ac:dyDescent="0.15">
      <c r="F789" s="70"/>
      <c r="H789" s="71"/>
      <c r="I789" s="71"/>
      <c r="J789" s="71"/>
    </row>
    <row r="790" spans="6:10" ht="13" x14ac:dyDescent="0.15">
      <c r="F790" s="70"/>
      <c r="H790" s="71"/>
      <c r="I790" s="71"/>
      <c r="J790" s="71"/>
    </row>
    <row r="791" spans="6:10" ht="13" x14ac:dyDescent="0.15">
      <c r="F791" s="70"/>
      <c r="H791" s="71"/>
      <c r="I791" s="71"/>
      <c r="J791" s="71"/>
    </row>
    <row r="792" spans="6:10" ht="13" x14ac:dyDescent="0.15">
      <c r="F792" s="70"/>
      <c r="H792" s="71"/>
      <c r="I792" s="71"/>
      <c r="J792" s="71"/>
    </row>
    <row r="793" spans="6:10" ht="13" x14ac:dyDescent="0.15">
      <c r="F793" s="70"/>
      <c r="H793" s="71"/>
      <c r="I793" s="71"/>
      <c r="J793" s="71"/>
    </row>
    <row r="794" spans="6:10" ht="13" x14ac:dyDescent="0.15">
      <c r="F794" s="70"/>
      <c r="H794" s="71"/>
      <c r="I794" s="71"/>
      <c r="J794" s="71"/>
    </row>
    <row r="795" spans="6:10" ht="13" x14ac:dyDescent="0.15">
      <c r="F795" s="70"/>
      <c r="H795" s="71"/>
      <c r="I795" s="71"/>
      <c r="J795" s="71"/>
    </row>
    <row r="796" spans="6:10" ht="13" x14ac:dyDescent="0.15">
      <c r="F796" s="70"/>
      <c r="H796" s="71"/>
      <c r="I796" s="71"/>
      <c r="J796" s="71"/>
    </row>
    <row r="797" spans="6:10" ht="13" x14ac:dyDescent="0.15">
      <c r="F797" s="70"/>
      <c r="H797" s="71"/>
      <c r="I797" s="71"/>
      <c r="J797" s="71"/>
    </row>
    <row r="798" spans="6:10" ht="13" x14ac:dyDescent="0.15">
      <c r="F798" s="70"/>
      <c r="H798" s="71"/>
      <c r="I798" s="71"/>
      <c r="J798" s="71"/>
    </row>
    <row r="799" spans="6:10" ht="13" x14ac:dyDescent="0.15">
      <c r="F799" s="70"/>
      <c r="H799" s="71"/>
      <c r="I799" s="71"/>
      <c r="J799" s="71"/>
    </row>
    <row r="800" spans="6:10" ht="13" x14ac:dyDescent="0.15">
      <c r="F800" s="70"/>
      <c r="H800" s="71"/>
      <c r="I800" s="71"/>
      <c r="J800" s="71"/>
    </row>
    <row r="801" spans="6:10" ht="13" x14ac:dyDescent="0.15">
      <c r="F801" s="70"/>
      <c r="H801" s="71"/>
      <c r="I801" s="71"/>
      <c r="J801" s="71"/>
    </row>
    <row r="802" spans="6:10" ht="13" x14ac:dyDescent="0.15">
      <c r="F802" s="70"/>
      <c r="H802" s="71"/>
      <c r="I802" s="71"/>
      <c r="J802" s="71"/>
    </row>
    <row r="803" spans="6:10" ht="13" x14ac:dyDescent="0.15">
      <c r="F803" s="70"/>
      <c r="H803" s="71"/>
      <c r="I803" s="71"/>
      <c r="J803" s="71"/>
    </row>
    <row r="804" spans="6:10" ht="13" x14ac:dyDescent="0.15">
      <c r="F804" s="70"/>
      <c r="H804" s="71"/>
      <c r="I804" s="71"/>
      <c r="J804" s="71"/>
    </row>
    <row r="805" spans="6:10" ht="13" x14ac:dyDescent="0.15">
      <c r="F805" s="70"/>
      <c r="H805" s="71"/>
      <c r="I805" s="71"/>
      <c r="J805" s="71"/>
    </row>
    <row r="806" spans="6:10" ht="13" x14ac:dyDescent="0.15">
      <c r="F806" s="70"/>
      <c r="H806" s="71"/>
      <c r="I806" s="71"/>
      <c r="J806" s="71"/>
    </row>
    <row r="807" spans="6:10" ht="13" x14ac:dyDescent="0.15">
      <c r="F807" s="70"/>
      <c r="H807" s="71"/>
      <c r="I807" s="71"/>
      <c r="J807" s="71"/>
    </row>
    <row r="808" spans="6:10" ht="13" x14ac:dyDescent="0.15">
      <c r="F808" s="70"/>
      <c r="H808" s="71"/>
      <c r="I808" s="71"/>
      <c r="J808" s="71"/>
    </row>
    <row r="809" spans="6:10" ht="13" x14ac:dyDescent="0.15">
      <c r="F809" s="70"/>
      <c r="H809" s="71"/>
      <c r="I809" s="71"/>
      <c r="J809" s="71"/>
    </row>
    <row r="810" spans="6:10" ht="13" x14ac:dyDescent="0.15">
      <c r="F810" s="70"/>
      <c r="H810" s="71"/>
      <c r="I810" s="71"/>
      <c r="J810" s="71"/>
    </row>
    <row r="811" spans="6:10" ht="13" x14ac:dyDescent="0.15">
      <c r="F811" s="70"/>
      <c r="H811" s="71"/>
      <c r="I811" s="71"/>
      <c r="J811" s="71"/>
    </row>
    <row r="812" spans="6:10" ht="13" x14ac:dyDescent="0.15">
      <c r="F812" s="70"/>
      <c r="H812" s="71"/>
      <c r="I812" s="71"/>
      <c r="J812" s="71"/>
    </row>
    <row r="813" spans="6:10" ht="13" x14ac:dyDescent="0.15">
      <c r="F813" s="70"/>
      <c r="H813" s="71"/>
      <c r="I813" s="71"/>
      <c r="J813" s="71"/>
    </row>
    <row r="814" spans="6:10" ht="13" x14ac:dyDescent="0.15">
      <c r="F814" s="70"/>
      <c r="H814" s="71"/>
      <c r="I814" s="71"/>
      <c r="J814" s="71"/>
    </row>
    <row r="815" spans="6:10" ht="13" x14ac:dyDescent="0.15">
      <c r="F815" s="70"/>
      <c r="H815" s="71"/>
      <c r="I815" s="71"/>
      <c r="J815" s="71"/>
    </row>
    <row r="816" spans="6:10" ht="13" x14ac:dyDescent="0.15">
      <c r="F816" s="70"/>
      <c r="H816" s="71"/>
      <c r="I816" s="71"/>
      <c r="J816" s="71"/>
    </row>
    <row r="817" spans="6:10" ht="13" x14ac:dyDescent="0.15">
      <c r="F817" s="70"/>
      <c r="H817" s="71"/>
      <c r="I817" s="71"/>
      <c r="J817" s="71"/>
    </row>
    <row r="818" spans="6:10" ht="13" x14ac:dyDescent="0.15">
      <c r="F818" s="70"/>
      <c r="H818" s="71"/>
      <c r="I818" s="71"/>
      <c r="J818" s="71"/>
    </row>
    <row r="819" spans="6:10" ht="13" x14ac:dyDescent="0.15">
      <c r="F819" s="70"/>
      <c r="H819" s="71"/>
      <c r="I819" s="71"/>
      <c r="J819" s="71"/>
    </row>
    <row r="820" spans="6:10" ht="13" x14ac:dyDescent="0.15">
      <c r="F820" s="70"/>
      <c r="H820" s="71"/>
      <c r="I820" s="71"/>
      <c r="J820" s="71"/>
    </row>
    <row r="821" spans="6:10" ht="13" x14ac:dyDescent="0.15">
      <c r="F821" s="70"/>
      <c r="H821" s="71"/>
      <c r="I821" s="71"/>
      <c r="J821" s="71"/>
    </row>
    <row r="822" spans="6:10" ht="13" x14ac:dyDescent="0.15">
      <c r="F822" s="70"/>
      <c r="H822" s="71"/>
      <c r="I822" s="71"/>
      <c r="J822" s="71"/>
    </row>
    <row r="823" spans="6:10" ht="13" x14ac:dyDescent="0.15">
      <c r="F823" s="70"/>
      <c r="H823" s="71"/>
      <c r="I823" s="71"/>
      <c r="J823" s="71"/>
    </row>
    <row r="824" spans="6:10" ht="13" x14ac:dyDescent="0.15">
      <c r="F824" s="70"/>
      <c r="H824" s="71"/>
      <c r="I824" s="71"/>
      <c r="J824" s="71"/>
    </row>
    <row r="825" spans="6:10" ht="13" x14ac:dyDescent="0.15">
      <c r="F825" s="70"/>
      <c r="H825" s="71"/>
      <c r="I825" s="71"/>
      <c r="J825" s="71"/>
    </row>
    <row r="826" spans="6:10" ht="13" x14ac:dyDescent="0.15">
      <c r="F826" s="70"/>
      <c r="H826" s="71"/>
      <c r="I826" s="71"/>
      <c r="J826" s="71"/>
    </row>
    <row r="827" spans="6:10" ht="13" x14ac:dyDescent="0.15">
      <c r="F827" s="70"/>
      <c r="H827" s="71"/>
      <c r="I827" s="71"/>
      <c r="J827" s="71"/>
    </row>
    <row r="828" spans="6:10" ht="13" x14ac:dyDescent="0.15">
      <c r="F828" s="70"/>
      <c r="H828" s="71"/>
      <c r="I828" s="71"/>
      <c r="J828" s="71"/>
    </row>
    <row r="829" spans="6:10" ht="13" x14ac:dyDescent="0.15">
      <c r="F829" s="70"/>
      <c r="H829" s="71"/>
      <c r="I829" s="71"/>
      <c r="J829" s="71"/>
    </row>
    <row r="830" spans="6:10" ht="13" x14ac:dyDescent="0.15">
      <c r="F830" s="70"/>
      <c r="H830" s="71"/>
      <c r="I830" s="71"/>
      <c r="J830" s="71"/>
    </row>
    <row r="831" spans="6:10" ht="13" x14ac:dyDescent="0.15">
      <c r="F831" s="70"/>
      <c r="H831" s="71"/>
      <c r="I831" s="71"/>
      <c r="J831" s="71"/>
    </row>
    <row r="832" spans="6:10" ht="13" x14ac:dyDescent="0.15">
      <c r="F832" s="70"/>
      <c r="H832" s="71"/>
      <c r="I832" s="71"/>
      <c r="J832" s="71"/>
    </row>
    <row r="833" spans="6:10" ht="13" x14ac:dyDescent="0.15">
      <c r="F833" s="70"/>
      <c r="H833" s="71"/>
      <c r="I833" s="71"/>
      <c r="J833" s="71"/>
    </row>
    <row r="834" spans="6:10" ht="13" x14ac:dyDescent="0.15">
      <c r="F834" s="70"/>
      <c r="H834" s="71"/>
      <c r="I834" s="71"/>
      <c r="J834" s="71"/>
    </row>
    <row r="835" spans="6:10" ht="13" x14ac:dyDescent="0.15">
      <c r="F835" s="70"/>
      <c r="H835" s="71"/>
      <c r="I835" s="71"/>
      <c r="J835" s="71"/>
    </row>
    <row r="836" spans="6:10" ht="13" x14ac:dyDescent="0.15">
      <c r="F836" s="70"/>
      <c r="H836" s="71"/>
      <c r="I836" s="71"/>
      <c r="J836" s="71"/>
    </row>
    <row r="837" spans="6:10" ht="13" x14ac:dyDescent="0.15">
      <c r="F837" s="70"/>
      <c r="H837" s="71"/>
      <c r="I837" s="71"/>
      <c r="J837" s="71"/>
    </row>
    <row r="838" spans="6:10" ht="13" x14ac:dyDescent="0.15">
      <c r="F838" s="70"/>
      <c r="H838" s="71"/>
      <c r="I838" s="71"/>
      <c r="J838" s="71"/>
    </row>
    <row r="839" spans="6:10" ht="13" x14ac:dyDescent="0.15">
      <c r="F839" s="70"/>
      <c r="H839" s="71"/>
      <c r="I839" s="71"/>
      <c r="J839" s="71"/>
    </row>
    <row r="840" spans="6:10" ht="13" x14ac:dyDescent="0.15">
      <c r="F840" s="70"/>
      <c r="H840" s="71"/>
      <c r="I840" s="71"/>
      <c r="J840" s="71"/>
    </row>
    <row r="841" spans="6:10" ht="13" x14ac:dyDescent="0.15">
      <c r="F841" s="70"/>
      <c r="H841" s="71"/>
      <c r="I841" s="71"/>
      <c r="J841" s="71"/>
    </row>
    <row r="842" spans="6:10" ht="13" x14ac:dyDescent="0.15">
      <c r="F842" s="70"/>
      <c r="H842" s="71"/>
      <c r="I842" s="71"/>
      <c r="J842" s="71"/>
    </row>
    <row r="843" spans="6:10" ht="13" x14ac:dyDescent="0.15">
      <c r="F843" s="70"/>
      <c r="H843" s="71"/>
      <c r="I843" s="71"/>
      <c r="J843" s="71"/>
    </row>
    <row r="844" spans="6:10" ht="13" x14ac:dyDescent="0.15">
      <c r="F844" s="70"/>
      <c r="H844" s="71"/>
      <c r="I844" s="71"/>
      <c r="J844" s="71"/>
    </row>
    <row r="845" spans="6:10" ht="13" x14ac:dyDescent="0.15">
      <c r="F845" s="70"/>
      <c r="H845" s="71"/>
      <c r="I845" s="71"/>
      <c r="J845" s="71"/>
    </row>
    <row r="846" spans="6:10" ht="13" x14ac:dyDescent="0.15">
      <c r="F846" s="70"/>
      <c r="H846" s="71"/>
      <c r="I846" s="71"/>
      <c r="J846" s="71"/>
    </row>
    <row r="847" spans="6:10" ht="13" x14ac:dyDescent="0.15">
      <c r="F847" s="70"/>
      <c r="H847" s="71"/>
      <c r="I847" s="71"/>
      <c r="J847" s="71"/>
    </row>
    <row r="848" spans="6:10" ht="13" x14ac:dyDescent="0.15">
      <c r="F848" s="70"/>
      <c r="H848" s="71"/>
      <c r="I848" s="71"/>
      <c r="J848" s="71"/>
    </row>
    <row r="849" spans="6:10" ht="13" x14ac:dyDescent="0.15">
      <c r="F849" s="70"/>
      <c r="H849" s="71"/>
      <c r="I849" s="71"/>
      <c r="J849" s="71"/>
    </row>
    <row r="850" spans="6:10" ht="13" x14ac:dyDescent="0.15">
      <c r="F850" s="70"/>
      <c r="H850" s="71"/>
      <c r="I850" s="71"/>
      <c r="J850" s="71"/>
    </row>
    <row r="851" spans="6:10" ht="13" x14ac:dyDescent="0.15">
      <c r="F851" s="70"/>
      <c r="H851" s="71"/>
      <c r="I851" s="71"/>
      <c r="J851" s="71"/>
    </row>
    <row r="852" spans="6:10" ht="13" x14ac:dyDescent="0.15">
      <c r="F852" s="70"/>
      <c r="H852" s="71"/>
      <c r="I852" s="71"/>
      <c r="J852" s="71"/>
    </row>
    <row r="853" spans="6:10" ht="13" x14ac:dyDescent="0.15">
      <c r="F853" s="70"/>
      <c r="H853" s="71"/>
      <c r="I853" s="71"/>
      <c r="J853" s="71"/>
    </row>
    <row r="854" spans="6:10" ht="13" x14ac:dyDescent="0.15">
      <c r="F854" s="70"/>
      <c r="H854" s="71"/>
      <c r="I854" s="71"/>
      <c r="J854" s="71"/>
    </row>
    <row r="855" spans="6:10" ht="13" x14ac:dyDescent="0.15">
      <c r="F855" s="70"/>
      <c r="H855" s="71"/>
      <c r="I855" s="71"/>
      <c r="J855" s="71"/>
    </row>
    <row r="856" spans="6:10" ht="13" x14ac:dyDescent="0.15">
      <c r="F856" s="70"/>
      <c r="H856" s="71"/>
      <c r="I856" s="71"/>
      <c r="J856" s="71"/>
    </row>
    <row r="857" spans="6:10" ht="13" x14ac:dyDescent="0.15">
      <c r="F857" s="70"/>
      <c r="H857" s="71"/>
      <c r="I857" s="71"/>
      <c r="J857" s="71"/>
    </row>
    <row r="858" spans="6:10" ht="13" x14ac:dyDescent="0.15">
      <c r="F858" s="70"/>
      <c r="H858" s="71"/>
      <c r="I858" s="71"/>
      <c r="J858" s="71"/>
    </row>
    <row r="859" spans="6:10" ht="13" x14ac:dyDescent="0.15">
      <c r="F859" s="70"/>
      <c r="H859" s="71"/>
      <c r="I859" s="71"/>
      <c r="J859" s="71"/>
    </row>
    <row r="860" spans="6:10" ht="13" x14ac:dyDescent="0.15">
      <c r="F860" s="70"/>
      <c r="H860" s="71"/>
      <c r="I860" s="71"/>
      <c r="J860" s="71"/>
    </row>
    <row r="861" spans="6:10" ht="13" x14ac:dyDescent="0.15">
      <c r="F861" s="70"/>
      <c r="H861" s="71"/>
      <c r="I861" s="71"/>
      <c r="J861" s="71"/>
    </row>
    <row r="862" spans="6:10" ht="13" x14ac:dyDescent="0.15">
      <c r="F862" s="70"/>
      <c r="H862" s="71"/>
      <c r="I862" s="71"/>
      <c r="J862" s="71"/>
    </row>
    <row r="863" spans="6:10" ht="13" x14ac:dyDescent="0.15">
      <c r="F863" s="70"/>
      <c r="H863" s="71"/>
      <c r="I863" s="71"/>
      <c r="J863" s="71"/>
    </row>
    <row r="864" spans="6:10" ht="13" x14ac:dyDescent="0.15">
      <c r="F864" s="70"/>
      <c r="H864" s="71"/>
      <c r="I864" s="71"/>
      <c r="J864" s="71"/>
    </row>
    <row r="865" spans="6:10" ht="13" x14ac:dyDescent="0.15">
      <c r="F865" s="70"/>
      <c r="H865" s="71"/>
      <c r="I865" s="71"/>
      <c r="J865" s="71"/>
    </row>
    <row r="866" spans="6:10" ht="13" x14ac:dyDescent="0.15">
      <c r="F866" s="70"/>
      <c r="H866" s="71"/>
      <c r="I866" s="71"/>
      <c r="J866" s="71"/>
    </row>
    <row r="867" spans="6:10" ht="13" x14ac:dyDescent="0.15">
      <c r="F867" s="70"/>
      <c r="H867" s="71"/>
      <c r="I867" s="71"/>
      <c r="J867" s="71"/>
    </row>
    <row r="868" spans="6:10" ht="13" x14ac:dyDescent="0.15">
      <c r="F868" s="70"/>
      <c r="H868" s="71"/>
      <c r="I868" s="71"/>
      <c r="J868" s="71"/>
    </row>
    <row r="869" spans="6:10" ht="13" x14ac:dyDescent="0.15">
      <c r="F869" s="70"/>
      <c r="H869" s="71"/>
      <c r="I869" s="71"/>
      <c r="J869" s="71"/>
    </row>
    <row r="870" spans="6:10" ht="13" x14ac:dyDescent="0.15">
      <c r="F870" s="70"/>
      <c r="H870" s="71"/>
      <c r="I870" s="71"/>
      <c r="J870" s="71"/>
    </row>
    <row r="871" spans="6:10" ht="13" x14ac:dyDescent="0.15">
      <c r="F871" s="70"/>
      <c r="H871" s="71"/>
      <c r="I871" s="71"/>
      <c r="J871" s="71"/>
    </row>
    <row r="872" spans="6:10" ht="13" x14ac:dyDescent="0.15">
      <c r="F872" s="70"/>
      <c r="H872" s="71"/>
      <c r="I872" s="71"/>
      <c r="J872" s="71"/>
    </row>
    <row r="873" spans="6:10" ht="13" x14ac:dyDescent="0.15">
      <c r="F873" s="70"/>
      <c r="H873" s="71"/>
      <c r="I873" s="71"/>
      <c r="J873" s="71"/>
    </row>
    <row r="874" spans="6:10" ht="13" x14ac:dyDescent="0.15">
      <c r="F874" s="70"/>
      <c r="H874" s="71"/>
      <c r="I874" s="71"/>
      <c r="J874" s="71"/>
    </row>
    <row r="875" spans="6:10" ht="13" x14ac:dyDescent="0.15">
      <c r="F875" s="70"/>
      <c r="H875" s="71"/>
      <c r="I875" s="71"/>
      <c r="J875" s="71"/>
    </row>
    <row r="876" spans="6:10" ht="13" x14ac:dyDescent="0.15">
      <c r="F876" s="70"/>
      <c r="H876" s="71"/>
      <c r="I876" s="71"/>
      <c r="J876" s="71"/>
    </row>
    <row r="877" spans="6:10" ht="13" x14ac:dyDescent="0.15">
      <c r="F877" s="70"/>
      <c r="H877" s="71"/>
      <c r="I877" s="71"/>
      <c r="J877" s="71"/>
    </row>
    <row r="878" spans="6:10" ht="13" x14ac:dyDescent="0.15">
      <c r="F878" s="70"/>
      <c r="H878" s="71"/>
      <c r="I878" s="71"/>
      <c r="J878" s="71"/>
    </row>
    <row r="879" spans="6:10" ht="13" x14ac:dyDescent="0.15">
      <c r="F879" s="70"/>
      <c r="H879" s="71"/>
      <c r="I879" s="71"/>
      <c r="J879" s="71"/>
    </row>
    <row r="880" spans="6:10" ht="13" x14ac:dyDescent="0.15">
      <c r="F880" s="70"/>
      <c r="H880" s="71"/>
      <c r="I880" s="71"/>
      <c r="J880" s="71"/>
    </row>
    <row r="881" spans="6:10" ht="13" x14ac:dyDescent="0.15">
      <c r="F881" s="70"/>
      <c r="H881" s="71"/>
      <c r="I881" s="71"/>
      <c r="J881" s="71"/>
    </row>
    <row r="882" spans="6:10" ht="13" x14ac:dyDescent="0.15">
      <c r="F882" s="70"/>
      <c r="H882" s="71"/>
      <c r="I882" s="71"/>
      <c r="J882" s="71"/>
    </row>
    <row r="883" spans="6:10" ht="13" x14ac:dyDescent="0.15">
      <c r="F883" s="70"/>
      <c r="H883" s="71"/>
      <c r="I883" s="71"/>
      <c r="J883" s="71"/>
    </row>
    <row r="884" spans="6:10" ht="13" x14ac:dyDescent="0.15">
      <c r="F884" s="70"/>
      <c r="H884" s="71"/>
      <c r="I884" s="71"/>
      <c r="J884" s="71"/>
    </row>
    <row r="885" spans="6:10" ht="13" x14ac:dyDescent="0.15">
      <c r="F885" s="70"/>
      <c r="H885" s="71"/>
      <c r="I885" s="71"/>
      <c r="J885" s="71"/>
    </row>
    <row r="886" spans="6:10" ht="13" x14ac:dyDescent="0.15">
      <c r="F886" s="70"/>
      <c r="H886" s="71"/>
      <c r="I886" s="71"/>
      <c r="J886" s="71"/>
    </row>
    <row r="887" spans="6:10" ht="13" x14ac:dyDescent="0.15">
      <c r="F887" s="70"/>
      <c r="H887" s="71"/>
      <c r="I887" s="71"/>
      <c r="J887" s="71"/>
    </row>
    <row r="888" spans="6:10" ht="13" x14ac:dyDescent="0.15">
      <c r="F888" s="70"/>
      <c r="H888" s="71"/>
      <c r="I888" s="71"/>
      <c r="J888" s="71"/>
    </row>
    <row r="889" spans="6:10" ht="13" x14ac:dyDescent="0.15">
      <c r="F889" s="70"/>
      <c r="H889" s="71"/>
      <c r="I889" s="71"/>
      <c r="J889" s="71"/>
    </row>
    <row r="890" spans="6:10" ht="13" x14ac:dyDescent="0.15">
      <c r="F890" s="70"/>
      <c r="H890" s="71"/>
      <c r="I890" s="71"/>
      <c r="J890" s="71"/>
    </row>
    <row r="891" spans="6:10" ht="13" x14ac:dyDescent="0.15">
      <c r="F891" s="70"/>
      <c r="H891" s="71"/>
      <c r="I891" s="71"/>
      <c r="J891" s="71"/>
    </row>
    <row r="892" spans="6:10" ht="13" x14ac:dyDescent="0.15">
      <c r="F892" s="70"/>
      <c r="H892" s="71"/>
      <c r="I892" s="71"/>
      <c r="J892" s="71"/>
    </row>
    <row r="893" spans="6:10" ht="13" x14ac:dyDescent="0.15">
      <c r="F893" s="70"/>
      <c r="H893" s="71"/>
      <c r="I893" s="71"/>
      <c r="J893" s="71"/>
    </row>
    <row r="894" spans="6:10" ht="13" x14ac:dyDescent="0.15">
      <c r="F894" s="70"/>
      <c r="H894" s="71"/>
      <c r="I894" s="71"/>
      <c r="J894" s="71"/>
    </row>
    <row r="895" spans="6:10" ht="13" x14ac:dyDescent="0.15">
      <c r="F895" s="70"/>
      <c r="H895" s="71"/>
      <c r="I895" s="71"/>
      <c r="J895" s="71"/>
    </row>
    <row r="896" spans="6:10" ht="13" x14ac:dyDescent="0.15">
      <c r="F896" s="70"/>
      <c r="H896" s="71"/>
      <c r="I896" s="71"/>
      <c r="J896" s="71"/>
    </row>
    <row r="897" spans="6:10" ht="13" x14ac:dyDescent="0.15">
      <c r="F897" s="70"/>
      <c r="H897" s="71"/>
      <c r="I897" s="71"/>
      <c r="J897" s="71"/>
    </row>
    <row r="898" spans="6:10" ht="13" x14ac:dyDescent="0.15">
      <c r="F898" s="70"/>
      <c r="H898" s="71"/>
      <c r="I898" s="71"/>
      <c r="J898" s="71"/>
    </row>
    <row r="899" spans="6:10" ht="13" x14ac:dyDescent="0.15">
      <c r="F899" s="70"/>
      <c r="H899" s="71"/>
      <c r="I899" s="71"/>
      <c r="J899" s="71"/>
    </row>
    <row r="900" spans="6:10" ht="13" x14ac:dyDescent="0.15">
      <c r="F900" s="70"/>
      <c r="H900" s="71"/>
      <c r="I900" s="71"/>
      <c r="J900" s="71"/>
    </row>
    <row r="901" spans="6:10" ht="13" x14ac:dyDescent="0.15">
      <c r="F901" s="70"/>
      <c r="H901" s="71"/>
      <c r="I901" s="71"/>
      <c r="J901" s="71"/>
    </row>
    <row r="902" spans="6:10" ht="13" x14ac:dyDescent="0.15">
      <c r="F902" s="70"/>
      <c r="H902" s="71"/>
      <c r="I902" s="71"/>
      <c r="J902" s="71"/>
    </row>
    <row r="903" spans="6:10" ht="13" x14ac:dyDescent="0.15">
      <c r="F903" s="70"/>
      <c r="H903" s="71"/>
      <c r="I903" s="71"/>
      <c r="J903" s="71"/>
    </row>
    <row r="904" spans="6:10" ht="13" x14ac:dyDescent="0.15">
      <c r="F904" s="70"/>
      <c r="H904" s="71"/>
      <c r="I904" s="71"/>
      <c r="J904" s="71"/>
    </row>
    <row r="905" spans="6:10" ht="13" x14ac:dyDescent="0.15">
      <c r="F905" s="70"/>
      <c r="H905" s="71"/>
      <c r="I905" s="71"/>
      <c r="J905" s="71"/>
    </row>
    <row r="906" spans="6:10" ht="13" x14ac:dyDescent="0.15">
      <c r="F906" s="70"/>
      <c r="H906" s="71"/>
      <c r="I906" s="71"/>
      <c r="J906" s="71"/>
    </row>
    <row r="907" spans="6:10" ht="13" x14ac:dyDescent="0.15">
      <c r="F907" s="70"/>
      <c r="H907" s="71"/>
      <c r="I907" s="71"/>
      <c r="J907" s="71"/>
    </row>
    <row r="908" spans="6:10" ht="13" x14ac:dyDescent="0.15">
      <c r="F908" s="70"/>
      <c r="H908" s="71"/>
      <c r="I908" s="71"/>
      <c r="J908" s="71"/>
    </row>
    <row r="909" spans="6:10" ht="13" x14ac:dyDescent="0.15">
      <c r="F909" s="70"/>
      <c r="H909" s="71"/>
      <c r="I909" s="71"/>
      <c r="J909" s="71"/>
    </row>
    <row r="910" spans="6:10" ht="13" x14ac:dyDescent="0.15">
      <c r="F910" s="70"/>
      <c r="H910" s="71"/>
      <c r="I910" s="71"/>
      <c r="J910" s="71"/>
    </row>
    <row r="911" spans="6:10" ht="13" x14ac:dyDescent="0.15">
      <c r="F911" s="70"/>
      <c r="H911" s="71"/>
      <c r="I911" s="71"/>
      <c r="J911" s="71"/>
    </row>
    <row r="912" spans="6:10" ht="13" x14ac:dyDescent="0.15">
      <c r="F912" s="70"/>
      <c r="H912" s="71"/>
      <c r="I912" s="71"/>
      <c r="J912" s="71"/>
    </row>
    <row r="913" spans="6:10" ht="13" x14ac:dyDescent="0.15">
      <c r="F913" s="70"/>
      <c r="H913" s="71"/>
      <c r="I913" s="71"/>
      <c r="J913" s="71"/>
    </row>
    <row r="914" spans="6:10" ht="13" x14ac:dyDescent="0.15">
      <c r="F914" s="70"/>
      <c r="H914" s="71"/>
      <c r="I914" s="71"/>
      <c r="J914" s="71"/>
    </row>
    <row r="915" spans="6:10" ht="13" x14ac:dyDescent="0.15">
      <c r="F915" s="70"/>
      <c r="H915" s="71"/>
      <c r="I915" s="71"/>
      <c r="J915" s="71"/>
    </row>
    <row r="916" spans="6:10" ht="13" x14ac:dyDescent="0.15">
      <c r="F916" s="70"/>
      <c r="H916" s="71"/>
      <c r="I916" s="71"/>
      <c r="J916" s="71"/>
    </row>
    <row r="917" spans="6:10" ht="13" x14ac:dyDescent="0.15">
      <c r="F917" s="70"/>
      <c r="H917" s="71"/>
      <c r="I917" s="71"/>
      <c r="J917" s="71"/>
    </row>
    <row r="918" spans="6:10" ht="13" x14ac:dyDescent="0.15">
      <c r="F918" s="70"/>
      <c r="H918" s="71"/>
      <c r="I918" s="71"/>
      <c r="J918" s="71"/>
    </row>
    <row r="919" spans="6:10" ht="13" x14ac:dyDescent="0.15">
      <c r="F919" s="70"/>
      <c r="H919" s="71"/>
      <c r="I919" s="71"/>
      <c r="J919" s="71"/>
    </row>
    <row r="920" spans="6:10" ht="13" x14ac:dyDescent="0.15">
      <c r="F920" s="70"/>
      <c r="H920" s="71"/>
      <c r="I920" s="71"/>
      <c r="J920" s="71"/>
    </row>
    <row r="921" spans="6:10" ht="13" x14ac:dyDescent="0.15">
      <c r="F921" s="70"/>
      <c r="H921" s="71"/>
      <c r="I921" s="71"/>
      <c r="J921" s="71"/>
    </row>
    <row r="922" spans="6:10" ht="13" x14ac:dyDescent="0.15">
      <c r="F922" s="70"/>
      <c r="H922" s="71"/>
      <c r="I922" s="71"/>
      <c r="J922" s="71"/>
    </row>
    <row r="923" spans="6:10" ht="13" x14ac:dyDescent="0.15">
      <c r="F923" s="70"/>
      <c r="H923" s="71"/>
      <c r="I923" s="71"/>
      <c r="J923" s="71"/>
    </row>
    <row r="924" spans="6:10" ht="13" x14ac:dyDescent="0.15">
      <c r="F924" s="70"/>
      <c r="H924" s="71"/>
      <c r="I924" s="71"/>
      <c r="J924" s="71"/>
    </row>
    <row r="925" spans="6:10" ht="13" x14ac:dyDescent="0.15">
      <c r="F925" s="70"/>
      <c r="H925" s="71"/>
      <c r="I925" s="71"/>
      <c r="J925" s="71"/>
    </row>
    <row r="926" spans="6:10" ht="13" x14ac:dyDescent="0.15">
      <c r="F926" s="70"/>
      <c r="H926" s="71"/>
      <c r="I926" s="71"/>
      <c r="J926" s="71"/>
    </row>
    <row r="927" spans="6:10" ht="13" x14ac:dyDescent="0.15">
      <c r="F927" s="70"/>
      <c r="H927" s="71"/>
      <c r="I927" s="71"/>
      <c r="J927" s="71"/>
    </row>
    <row r="928" spans="6:10" ht="13" x14ac:dyDescent="0.15">
      <c r="F928" s="70"/>
      <c r="H928" s="71"/>
      <c r="I928" s="71"/>
      <c r="J928" s="71"/>
    </row>
    <row r="929" spans="6:10" ht="13" x14ac:dyDescent="0.15">
      <c r="F929" s="70"/>
      <c r="H929" s="71"/>
      <c r="I929" s="71"/>
      <c r="J929" s="71"/>
    </row>
    <row r="930" spans="6:10" ht="13" x14ac:dyDescent="0.15">
      <c r="F930" s="70"/>
      <c r="H930" s="71"/>
      <c r="I930" s="71"/>
      <c r="J930" s="71"/>
    </row>
    <row r="931" spans="6:10" ht="13" x14ac:dyDescent="0.15">
      <c r="F931" s="70"/>
      <c r="H931" s="71"/>
      <c r="I931" s="71"/>
      <c r="J931" s="71"/>
    </row>
    <row r="932" spans="6:10" ht="13" x14ac:dyDescent="0.15">
      <c r="F932" s="70"/>
      <c r="H932" s="71"/>
      <c r="I932" s="71"/>
      <c r="J932" s="71"/>
    </row>
    <row r="933" spans="6:10" ht="13" x14ac:dyDescent="0.15">
      <c r="F933" s="70"/>
      <c r="H933" s="71"/>
      <c r="I933" s="71"/>
      <c r="J933" s="71"/>
    </row>
    <row r="934" spans="6:10" ht="13" x14ac:dyDescent="0.15">
      <c r="F934" s="70"/>
      <c r="H934" s="71"/>
      <c r="I934" s="71"/>
      <c r="J934" s="71"/>
    </row>
    <row r="935" spans="6:10" ht="13" x14ac:dyDescent="0.15">
      <c r="F935" s="70"/>
      <c r="H935" s="71"/>
      <c r="I935" s="71"/>
      <c r="J935" s="71"/>
    </row>
    <row r="936" spans="6:10" ht="13" x14ac:dyDescent="0.15">
      <c r="F936" s="70"/>
      <c r="H936" s="71"/>
      <c r="I936" s="71"/>
      <c r="J936" s="71"/>
    </row>
    <row r="937" spans="6:10" ht="13" x14ac:dyDescent="0.15">
      <c r="F937" s="70"/>
      <c r="H937" s="71"/>
      <c r="I937" s="71"/>
      <c r="J937" s="71"/>
    </row>
    <row r="938" spans="6:10" ht="13" x14ac:dyDescent="0.15">
      <c r="F938" s="70"/>
      <c r="H938" s="71"/>
      <c r="I938" s="71"/>
      <c r="J938" s="71"/>
    </row>
    <row r="939" spans="6:10" ht="13" x14ac:dyDescent="0.15">
      <c r="F939" s="70"/>
      <c r="H939" s="71"/>
      <c r="I939" s="71"/>
      <c r="J939" s="71"/>
    </row>
    <row r="940" spans="6:10" ht="13" x14ac:dyDescent="0.15">
      <c r="F940" s="70"/>
      <c r="H940" s="71"/>
      <c r="I940" s="71"/>
      <c r="J940" s="71"/>
    </row>
    <row r="941" spans="6:10" ht="13" x14ac:dyDescent="0.15">
      <c r="F941" s="70"/>
      <c r="H941" s="71"/>
      <c r="I941" s="71"/>
      <c r="J941" s="71"/>
    </row>
    <row r="942" spans="6:10" ht="13" x14ac:dyDescent="0.15">
      <c r="F942" s="70"/>
      <c r="H942" s="71"/>
      <c r="I942" s="71"/>
      <c r="J942" s="71"/>
    </row>
    <row r="943" spans="6:10" ht="13" x14ac:dyDescent="0.15">
      <c r="F943" s="70"/>
      <c r="H943" s="71"/>
      <c r="I943" s="71"/>
      <c r="J943" s="71"/>
    </row>
    <row r="944" spans="6:10" ht="13" x14ac:dyDescent="0.15">
      <c r="F944" s="70"/>
      <c r="H944" s="71"/>
      <c r="I944" s="71"/>
      <c r="J944" s="71"/>
    </row>
    <row r="945" spans="6:10" ht="13" x14ac:dyDescent="0.15">
      <c r="F945" s="70"/>
      <c r="H945" s="71"/>
      <c r="I945" s="71"/>
      <c r="J945" s="71"/>
    </row>
    <row r="946" spans="6:10" ht="13" x14ac:dyDescent="0.15">
      <c r="F946" s="70"/>
      <c r="H946" s="71"/>
      <c r="I946" s="71"/>
      <c r="J946" s="71"/>
    </row>
    <row r="947" spans="6:10" ht="13" x14ac:dyDescent="0.15">
      <c r="F947" s="70"/>
      <c r="H947" s="71"/>
      <c r="I947" s="71"/>
      <c r="J947" s="71"/>
    </row>
    <row r="948" spans="6:10" ht="13" x14ac:dyDescent="0.15">
      <c r="F948" s="70"/>
      <c r="H948" s="71"/>
      <c r="I948" s="71"/>
      <c r="J948" s="71"/>
    </row>
    <row r="949" spans="6:10" ht="13" x14ac:dyDescent="0.15">
      <c r="F949" s="70"/>
      <c r="H949" s="71"/>
      <c r="I949" s="71"/>
      <c r="J949" s="71"/>
    </row>
    <row r="950" spans="6:10" ht="13" x14ac:dyDescent="0.15">
      <c r="F950" s="70"/>
      <c r="H950" s="71"/>
      <c r="I950" s="71"/>
      <c r="J950" s="71"/>
    </row>
    <row r="951" spans="6:10" ht="13" x14ac:dyDescent="0.15">
      <c r="F951" s="70"/>
      <c r="H951" s="71"/>
      <c r="I951" s="71"/>
      <c r="J951" s="71"/>
    </row>
    <row r="952" spans="6:10" ht="13" x14ac:dyDescent="0.15">
      <c r="F952" s="70"/>
      <c r="H952" s="71"/>
      <c r="I952" s="71"/>
      <c r="J952" s="71"/>
    </row>
    <row r="953" spans="6:10" ht="13" x14ac:dyDescent="0.15">
      <c r="F953" s="70"/>
      <c r="H953" s="71"/>
      <c r="I953" s="71"/>
      <c r="J953" s="71"/>
    </row>
    <row r="954" spans="6:10" ht="13" x14ac:dyDescent="0.15">
      <c r="F954" s="70"/>
      <c r="H954" s="71"/>
      <c r="I954" s="71"/>
      <c r="J954" s="71"/>
    </row>
    <row r="955" spans="6:10" ht="13" x14ac:dyDescent="0.15">
      <c r="F955" s="70"/>
      <c r="H955" s="71"/>
      <c r="I955" s="71"/>
      <c r="J955" s="71"/>
    </row>
    <row r="956" spans="6:10" ht="13" x14ac:dyDescent="0.15">
      <c r="F956" s="70"/>
      <c r="H956" s="71"/>
      <c r="I956" s="71"/>
      <c r="J956" s="71"/>
    </row>
    <row r="957" spans="6:10" ht="13" x14ac:dyDescent="0.15">
      <c r="F957" s="70"/>
      <c r="H957" s="71"/>
      <c r="I957" s="71"/>
      <c r="J957" s="71"/>
    </row>
    <row r="958" spans="6:10" ht="13" x14ac:dyDescent="0.15">
      <c r="F958" s="70"/>
      <c r="H958" s="71"/>
      <c r="I958" s="71"/>
      <c r="J958" s="71"/>
    </row>
    <row r="959" spans="6:10" ht="13" x14ac:dyDescent="0.15">
      <c r="F959" s="70"/>
      <c r="H959" s="71"/>
      <c r="I959" s="71"/>
      <c r="J959" s="71"/>
    </row>
    <row r="960" spans="6:10" ht="13" x14ac:dyDescent="0.15">
      <c r="F960" s="70"/>
      <c r="H960" s="71"/>
      <c r="I960" s="71"/>
      <c r="J960" s="71"/>
    </row>
    <row r="961" spans="6:10" ht="13" x14ac:dyDescent="0.15">
      <c r="F961" s="70"/>
      <c r="H961" s="71"/>
      <c r="I961" s="71"/>
      <c r="J961" s="71"/>
    </row>
    <row r="962" spans="6:10" ht="13" x14ac:dyDescent="0.15">
      <c r="F962" s="70"/>
      <c r="H962" s="71"/>
      <c r="I962" s="71"/>
      <c r="J962" s="71"/>
    </row>
    <row r="963" spans="6:10" ht="13" x14ac:dyDescent="0.15">
      <c r="F963" s="70"/>
      <c r="H963" s="71"/>
      <c r="I963" s="71"/>
      <c r="J963" s="71"/>
    </row>
    <row r="964" spans="6:10" ht="13" x14ac:dyDescent="0.15">
      <c r="F964" s="70"/>
      <c r="H964" s="71"/>
      <c r="I964" s="71"/>
      <c r="J964" s="71"/>
    </row>
    <row r="965" spans="6:10" ht="13" x14ac:dyDescent="0.15">
      <c r="F965" s="70"/>
      <c r="H965" s="71"/>
      <c r="I965" s="71"/>
      <c r="J965" s="71"/>
    </row>
    <row r="966" spans="6:10" ht="13" x14ac:dyDescent="0.15">
      <c r="F966" s="70"/>
      <c r="H966" s="71"/>
      <c r="I966" s="71"/>
      <c r="J966" s="71"/>
    </row>
    <row r="967" spans="6:10" ht="13" x14ac:dyDescent="0.15">
      <c r="F967" s="70"/>
      <c r="H967" s="71"/>
      <c r="I967" s="71"/>
      <c r="J967" s="71"/>
    </row>
    <row r="968" spans="6:10" ht="13" x14ac:dyDescent="0.15">
      <c r="F968" s="70"/>
      <c r="H968" s="71"/>
      <c r="I968" s="71"/>
      <c r="J968" s="71"/>
    </row>
    <row r="969" spans="6:10" ht="13" x14ac:dyDescent="0.15">
      <c r="F969" s="70"/>
      <c r="H969" s="71"/>
      <c r="I969" s="71"/>
      <c r="J969" s="71"/>
    </row>
    <row r="970" spans="6:10" ht="13" x14ac:dyDescent="0.15">
      <c r="F970" s="70"/>
      <c r="H970" s="71"/>
      <c r="I970" s="71"/>
      <c r="J970" s="71"/>
    </row>
    <row r="971" spans="6:10" ht="13" x14ac:dyDescent="0.15">
      <c r="F971" s="70"/>
      <c r="H971" s="71"/>
      <c r="I971" s="71"/>
      <c r="J971" s="71"/>
    </row>
    <row r="972" spans="6:10" ht="13" x14ac:dyDescent="0.15">
      <c r="F972" s="70"/>
      <c r="H972" s="71"/>
      <c r="I972" s="71"/>
      <c r="J972" s="71"/>
    </row>
    <row r="973" spans="6:10" ht="13" x14ac:dyDescent="0.15">
      <c r="F973" s="70"/>
      <c r="H973" s="71"/>
      <c r="I973" s="71"/>
      <c r="J973" s="71"/>
    </row>
    <row r="974" spans="6:10" ht="13" x14ac:dyDescent="0.15">
      <c r="F974" s="70"/>
      <c r="H974" s="71"/>
      <c r="I974" s="71"/>
      <c r="J974" s="71"/>
    </row>
    <row r="975" spans="6:10" ht="13" x14ac:dyDescent="0.15">
      <c r="F975" s="70"/>
      <c r="H975" s="71"/>
      <c r="I975" s="71"/>
      <c r="J975" s="71"/>
    </row>
    <row r="976" spans="6:10" ht="13" x14ac:dyDescent="0.15">
      <c r="F976" s="70"/>
      <c r="H976" s="71"/>
      <c r="I976" s="71"/>
      <c r="J976" s="71"/>
    </row>
    <row r="977" spans="6:10" ht="13" x14ac:dyDescent="0.15">
      <c r="F977" s="70"/>
      <c r="H977" s="71"/>
      <c r="I977" s="71"/>
      <c r="J977" s="71"/>
    </row>
    <row r="978" spans="6:10" ht="13" x14ac:dyDescent="0.15">
      <c r="F978" s="70"/>
      <c r="H978" s="71"/>
      <c r="I978" s="71"/>
      <c r="J978" s="71"/>
    </row>
    <row r="979" spans="6:10" ht="13" x14ac:dyDescent="0.15">
      <c r="F979" s="70"/>
      <c r="H979" s="71"/>
      <c r="I979" s="71"/>
      <c r="J979" s="71"/>
    </row>
    <row r="980" spans="6:10" ht="13" x14ac:dyDescent="0.15">
      <c r="F980" s="70"/>
      <c r="H980" s="71"/>
      <c r="I980" s="71"/>
      <c r="J980" s="71"/>
    </row>
    <row r="981" spans="6:10" ht="13" x14ac:dyDescent="0.15">
      <c r="F981" s="70"/>
      <c r="H981" s="71"/>
      <c r="I981" s="71"/>
      <c r="J981" s="71"/>
    </row>
    <row r="982" spans="6:10" ht="13" x14ac:dyDescent="0.15">
      <c r="F982" s="70"/>
      <c r="H982" s="71"/>
      <c r="I982" s="71"/>
      <c r="J982" s="71"/>
    </row>
    <row r="983" spans="6:10" ht="13" x14ac:dyDescent="0.15">
      <c r="F983" s="70"/>
      <c r="H983" s="71"/>
      <c r="I983" s="71"/>
      <c r="J983" s="71"/>
    </row>
    <row r="984" spans="6:10" ht="13" x14ac:dyDescent="0.15">
      <c r="F984" s="70"/>
      <c r="H984" s="71"/>
      <c r="I984" s="71"/>
      <c r="J984" s="71"/>
    </row>
    <row r="985" spans="6:10" ht="13" x14ac:dyDescent="0.15">
      <c r="F985" s="70"/>
      <c r="H985" s="71"/>
      <c r="I985" s="71"/>
      <c r="J985" s="71"/>
    </row>
    <row r="986" spans="6:10" ht="13" x14ac:dyDescent="0.15">
      <c r="F986" s="70"/>
      <c r="H986" s="71"/>
      <c r="I986" s="71"/>
      <c r="J986" s="71"/>
    </row>
    <row r="987" spans="6:10" ht="13" x14ac:dyDescent="0.15">
      <c r="F987" s="70"/>
      <c r="H987" s="71"/>
      <c r="I987" s="71"/>
      <c r="J987" s="71"/>
    </row>
    <row r="988" spans="6:10" ht="13" x14ac:dyDescent="0.15">
      <c r="F988" s="70"/>
      <c r="H988" s="71"/>
      <c r="I988" s="71"/>
      <c r="J988" s="71"/>
    </row>
    <row r="989" spans="6:10" ht="13" x14ac:dyDescent="0.15">
      <c r="F989" s="70"/>
      <c r="H989" s="71"/>
      <c r="I989" s="71"/>
      <c r="J989" s="71"/>
    </row>
    <row r="990" spans="6:10" ht="13" x14ac:dyDescent="0.15">
      <c r="F990" s="70"/>
      <c r="H990" s="71"/>
      <c r="I990" s="71"/>
      <c r="J990" s="71"/>
    </row>
    <row r="991" spans="6:10" ht="13" x14ac:dyDescent="0.15">
      <c r="F991" s="70"/>
      <c r="H991" s="71"/>
      <c r="I991" s="71"/>
      <c r="J991" s="71"/>
    </row>
    <row r="992" spans="6:10" ht="13" x14ac:dyDescent="0.15">
      <c r="F992" s="70"/>
      <c r="H992" s="71"/>
      <c r="I992" s="71"/>
      <c r="J992" s="71"/>
    </row>
    <row r="993" spans="6:10" ht="13" x14ac:dyDescent="0.15">
      <c r="F993" s="70"/>
      <c r="H993" s="71"/>
      <c r="I993" s="71"/>
      <c r="J993" s="71"/>
    </row>
    <row r="994" spans="6:10" ht="13" x14ac:dyDescent="0.15">
      <c r="F994" s="70"/>
      <c r="H994" s="71"/>
      <c r="I994" s="71"/>
      <c r="J994" s="71"/>
    </row>
    <row r="995" spans="6:10" ht="13" x14ac:dyDescent="0.15">
      <c r="F995" s="70"/>
      <c r="H995" s="71"/>
      <c r="I995" s="71"/>
      <c r="J995" s="71"/>
    </row>
    <row r="996" spans="6:10" ht="13" x14ac:dyDescent="0.15">
      <c r="F996" s="70"/>
      <c r="H996" s="71"/>
      <c r="I996" s="71"/>
      <c r="J996" s="71"/>
    </row>
    <row r="997" spans="6:10" ht="13" x14ac:dyDescent="0.15">
      <c r="F997" s="70"/>
      <c r="H997" s="71"/>
      <c r="I997" s="71"/>
      <c r="J997" s="71"/>
    </row>
    <row r="998" spans="6:10" ht="13" x14ac:dyDescent="0.15">
      <c r="F998" s="70"/>
      <c r="H998" s="71"/>
      <c r="I998" s="71"/>
      <c r="J998" s="71"/>
    </row>
    <row r="999" spans="6:10" ht="13" x14ac:dyDescent="0.15">
      <c r="F999" s="70"/>
      <c r="H999" s="71"/>
      <c r="I999" s="71"/>
      <c r="J999" s="71"/>
    </row>
    <row r="1000" spans="6:10" ht="13" x14ac:dyDescent="0.15">
      <c r="F1000" s="70"/>
      <c r="H1000" s="71"/>
      <c r="I1000" s="71"/>
      <c r="J1000" s="71"/>
    </row>
    <row r="1001" spans="6:10" ht="13" x14ac:dyDescent="0.15">
      <c r="F1001" s="70"/>
      <c r="H1001" s="71"/>
      <c r="I1001" s="71"/>
      <c r="J1001" s="71"/>
    </row>
    <row r="1002" spans="6:10" ht="13" x14ac:dyDescent="0.15">
      <c r="F1002" s="70"/>
      <c r="H1002" s="71"/>
      <c r="I1002" s="71"/>
      <c r="J1002" s="71"/>
    </row>
    <row r="1003" spans="6:10" ht="13" x14ac:dyDescent="0.15">
      <c r="F1003" s="70"/>
      <c r="H1003" s="71"/>
      <c r="I1003" s="71"/>
      <c r="J1003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table1_se+30year</vt:lpstr>
      <vt:lpstr>supp.Table5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Mengyu Liang</cp:lastModifiedBy>
  <dcterms:created xsi:type="dcterms:W3CDTF">2026-01-30T07:58:14Z</dcterms:created>
  <dcterms:modified xsi:type="dcterms:W3CDTF">2026-01-30T07:58:14Z</dcterms:modified>
</cp:coreProperties>
</file>